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rad\Downloads\"/>
    </mc:Choice>
  </mc:AlternateContent>
  <xr:revisionPtr revIDLastSave="0" documentId="13_ncr:1_{5F720B2F-1F6B-418E-BE11-F79C7584C66F}" xr6:coauthVersionLast="47" xr6:coauthVersionMax="47" xr10:uidLastSave="{00000000-0000-0000-0000-000000000000}"/>
  <bookViews>
    <workbookView xWindow="-28920" yWindow="-120" windowWidth="29040" windowHeight="15720" xr2:uid="{1C5A09DB-317E-44AD-AE82-07BFFDD2FF63}"/>
  </bookViews>
  <sheets>
    <sheet name="Base" sheetId="1" r:id="rId1"/>
    <sheet name="Regional" sheetId="2" r:id="rId2"/>
    <sheet name="Exceção Sigl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3" l="1"/>
  <c r="C27" i="3"/>
  <c r="C25" i="3"/>
  <c r="C24" i="3"/>
  <c r="C23" i="3"/>
  <c r="C22" i="3"/>
  <c r="C21" i="3"/>
  <c r="C20" i="3"/>
  <c r="C19" i="3"/>
  <c r="C17" i="3"/>
  <c r="C18" i="3"/>
  <c r="C15" i="3"/>
  <c r="C16" i="3"/>
  <c r="C14" i="3"/>
  <c r="C13" i="3"/>
  <c r="C12" i="3"/>
  <c r="C11" i="3"/>
  <c r="C10" i="3"/>
  <c r="C9" i="3"/>
  <c r="C7" i="3"/>
  <c r="C8" i="3"/>
  <c r="C3" i="3"/>
  <c r="C4" i="3"/>
  <c r="C5" i="3"/>
  <c r="C6" i="3"/>
  <c r="C2" i="3"/>
  <c r="K157" i="2"/>
  <c r="L144" i="2"/>
  <c r="K146" i="2" l="1"/>
  <c r="N145" i="2" s="1"/>
  <c r="H76" i="1"/>
  <c r="H75" i="1"/>
  <c r="H64" i="1"/>
  <c r="H47" i="1"/>
  <c r="H29" i="1"/>
  <c r="H24" i="1"/>
  <c r="H18" i="1"/>
  <c r="H14" i="1"/>
  <c r="H7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Henrique</author>
  </authors>
  <commentList>
    <comment ref="B14" authorId="0" shapeId="0" xr:uid="{11262E96-58FE-4975-B66C-E272718C90E9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Assumiu SSUP</t>
        </r>
      </text>
    </comment>
    <comment ref="B20" authorId="0" shapeId="0" xr:uid="{4F7D340B-DA91-45BC-8514-EE09AC69E0A6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SUCI</t>
        </r>
      </text>
    </comment>
    <comment ref="B24" authorId="0" shapeId="0" xr:uid="{29F345F4-AC34-4241-B182-D813E2E7662D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Mesmo preço de Chef Alto Nível</t>
        </r>
      </text>
    </comment>
    <comment ref="B29" authorId="0" shapeId="0" xr:uid="{E553D556-F339-4CFE-95AB-477868F850C5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SUCI</t>
        </r>
      </text>
    </comment>
    <comment ref="B60" authorId="0" shapeId="0" xr:uid="{4AE1F358-3724-4463-A2DD-8DFC79BFD8C8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Usamos como base a proporção do preço entre SHOD e FANT no Linear</t>
        </r>
      </text>
    </comment>
    <comment ref="B72" authorId="0" shapeId="0" xr:uid="{D84D152F-AFC1-4952-8CEA-12281E0906BA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19% a mais que o preço de SUCI no Linear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Henrique</author>
  </authors>
  <commentList>
    <comment ref="B13" authorId="0" shapeId="0" xr:uid="{F3A6A3EA-D768-4948-A4A9-1DFE9D9D5773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Assumiu SSUP</t>
        </r>
      </text>
    </comment>
    <comment ref="B19" authorId="0" shapeId="0" xr:uid="{62A017EA-67A8-43E0-9C7A-08BC1EAC0723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SUCI</t>
        </r>
      </text>
    </comment>
    <comment ref="B23" authorId="0" shapeId="0" xr:uid="{930DE002-6815-4CD8-9D2C-18CFA536548E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Mesmo preço de Chef Alto Nível</t>
        </r>
      </text>
    </comment>
    <comment ref="B28" authorId="0" shapeId="0" xr:uid="{C54F89B5-A767-4C2A-8B45-05AEFF8830FD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SUCI</t>
        </r>
      </text>
    </comment>
    <comment ref="B59" authorId="0" shapeId="0" xr:uid="{19487EC3-A666-45C1-A80E-BBDAE0BE1864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Usamos como base a proporção do preço entre SHOD e FANT no Linear</t>
        </r>
      </text>
    </comment>
    <comment ref="B71" authorId="0" shapeId="0" xr:uid="{7B36A58D-C73C-487A-A624-C9D9B12BBFD2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19% a mais que o preço de SUCI no Linear</t>
        </r>
      </text>
    </comment>
    <comment ref="B85" authorId="0" shapeId="0" xr:uid="{B6DF4832-FE84-41E2-A3B0-5E8B650C0DDC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Assumiu SSUP</t>
        </r>
      </text>
    </comment>
    <comment ref="B91" authorId="0" shapeId="0" xr:uid="{13CE84C3-2E12-4F01-B844-B0B4D394B1C3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SUCI</t>
        </r>
      </text>
    </comment>
    <comment ref="B95" authorId="0" shapeId="0" xr:uid="{6A57E587-36FC-453D-8501-EC5A0FAEF986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Mesmo preço de Chef Alto Nível</t>
        </r>
      </text>
    </comment>
    <comment ref="B100" authorId="0" shapeId="0" xr:uid="{36FF224B-FEE8-45A1-81DB-651319A83D3C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SUCI</t>
        </r>
      </text>
    </comment>
    <comment ref="B131" authorId="0" shapeId="0" xr:uid="{DEEAE8CD-E448-4AF0-81B6-8D213534F12F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Usamos como base a proporção do preço entre SHOD e FANT no Linear</t>
        </r>
      </text>
    </comment>
    <comment ref="B143" authorId="0" shapeId="0" xr:uid="{98AA753F-8029-4832-BDF4-11CFDCB02F9A}">
      <text>
        <r>
          <rPr>
            <b/>
            <sz val="9"/>
            <color indexed="81"/>
            <rFont val="Segoe UI"/>
            <family val="2"/>
          </rPr>
          <t>Vinicius Henrique:</t>
        </r>
        <r>
          <rPr>
            <sz val="9"/>
            <color indexed="81"/>
            <rFont val="Segoe UI"/>
            <family val="2"/>
          </rPr>
          <t xml:space="preserve">
19% a mais que o preço de SUCI no Linear</t>
        </r>
      </text>
    </comment>
  </commentList>
</comments>
</file>

<file path=xl/sharedStrings.xml><?xml version="1.0" encoding="utf-8"?>
<sst xmlns="http://schemas.openxmlformats.org/spreadsheetml/2006/main" count="1376" uniqueCount="245">
  <si>
    <t>Coeficiente</t>
  </si>
  <si>
    <t>CPM</t>
  </si>
  <si>
    <t>Multiplo</t>
  </si>
  <si>
    <t>PGM</t>
  </si>
  <si>
    <t>programa_nome</t>
  </si>
  <si>
    <t>programa_tipo</t>
  </si>
  <si>
    <t>genero</t>
  </si>
  <si>
    <t>dia_semana</t>
  </si>
  <si>
    <t>horario_inicio</t>
  </si>
  <si>
    <t>Proposta CA</t>
  </si>
  <si>
    <t>Comercial Amplificado</t>
  </si>
  <si>
    <t>6'</t>
  </si>
  <si>
    <t>ALTA</t>
  </si>
  <si>
    <t>Altas Horas</t>
  </si>
  <si>
    <t>NET</t>
  </si>
  <si>
    <t>Auditório</t>
  </si>
  <si>
    <t>Sáb</t>
  </si>
  <si>
    <t>22:30</t>
  </si>
  <si>
    <t>10'</t>
  </si>
  <si>
    <t>AUTO</t>
  </si>
  <si>
    <t>Auto Esporte</t>
  </si>
  <si>
    <t>Carros e Motores</t>
  </si>
  <si>
    <t>Dom</t>
  </si>
  <si>
    <t>08:05</t>
  </si>
  <si>
    <t>15'</t>
  </si>
  <si>
    <t>BIAL</t>
  </si>
  <si>
    <t>Conversa com Bial</t>
  </si>
  <si>
    <t>Entrevista</t>
  </si>
  <si>
    <t>Seg/Sex</t>
  </si>
  <si>
    <t>-</t>
  </si>
  <si>
    <t>30'</t>
  </si>
  <si>
    <t>BIGB</t>
  </si>
  <si>
    <t>Big Brother Brasil</t>
  </si>
  <si>
    <t>Reality Show</t>
  </si>
  <si>
    <t>45'</t>
  </si>
  <si>
    <t>BIGF</t>
  </si>
  <si>
    <t>Big Brother Brasil - Final</t>
  </si>
  <si>
    <t>60'</t>
  </si>
  <si>
    <t>BOMS</t>
  </si>
  <si>
    <t>Bom Dia Sábado</t>
  </si>
  <si>
    <t>Jornalismo</t>
  </si>
  <si>
    <t>06:50</t>
  </si>
  <si>
    <t>BPRA</t>
  </si>
  <si>
    <t>Bom Dia Praça</t>
  </si>
  <si>
    <t>06:00</t>
  </si>
  <si>
    <t>BSER</t>
  </si>
  <si>
    <t>Viver Sertanejo</t>
  </si>
  <si>
    <t>10:15</t>
  </si>
  <si>
    <t>CALD</t>
  </si>
  <si>
    <t>Caldeirão Com Mion</t>
  </si>
  <si>
    <t>16:15</t>
  </si>
  <si>
    <t>CASA</t>
  </si>
  <si>
    <t>É De Casa</t>
  </si>
  <si>
    <t>Variedades</t>
  </si>
  <si>
    <t>08:30</t>
  </si>
  <si>
    <t>CBIL</t>
  </si>
  <si>
    <t>Campeões de Bilheteria</t>
  </si>
  <si>
    <t>Filme</t>
  </si>
  <si>
    <t>CEMU</t>
  </si>
  <si>
    <t>Central da Copa do Mundo de Clubes</t>
  </si>
  <si>
    <t>Esporte</t>
  </si>
  <si>
    <t>CHEF</t>
  </si>
  <si>
    <t>Chef de Alto Nível</t>
  </si>
  <si>
    <t>Ter/Qui</t>
  </si>
  <si>
    <t>22:25</t>
  </si>
  <si>
    <t>CIMA</t>
  </si>
  <si>
    <t>Cinemaço</t>
  </si>
  <si>
    <t>03:05</t>
  </si>
  <si>
    <t>CINE</t>
  </si>
  <si>
    <t>Cinema Especial</t>
  </si>
  <si>
    <t>Qua</t>
  </si>
  <si>
    <t>CMAD</t>
  </si>
  <si>
    <t>Comédia na Madrugada</t>
  </si>
  <si>
    <t>Humorístico</t>
  </si>
  <si>
    <t>02:50</t>
  </si>
  <si>
    <t>COR1</t>
  </si>
  <si>
    <t>Corujão</t>
  </si>
  <si>
    <t>Seg/Dom</t>
  </si>
  <si>
    <t>03:00</t>
  </si>
  <si>
    <t>CSER</t>
  </si>
  <si>
    <t>Circuito Sertanejo</t>
  </si>
  <si>
    <t>Show</t>
  </si>
  <si>
    <t>DOM1</t>
  </si>
  <si>
    <t>Domingão com Huck (Parte 1)</t>
  </si>
  <si>
    <t>DOMA</t>
  </si>
  <si>
    <t>Domingo Maior</t>
  </si>
  <si>
    <t>01:20</t>
  </si>
  <si>
    <t>DOMI</t>
  </si>
  <si>
    <t>Domingão Com Huck</t>
  </si>
  <si>
    <t>17:30</t>
  </si>
  <si>
    <t>ECAS</t>
  </si>
  <si>
    <t>Estrela da Casa</t>
  </si>
  <si>
    <t>EMPR</t>
  </si>
  <si>
    <t>Pequenas Empresas Grandes Negócios</t>
  </si>
  <si>
    <t>Reportagem</t>
  </si>
  <si>
    <t>07:50</t>
  </si>
  <si>
    <t>ENCT</t>
  </si>
  <si>
    <t>Encontro Com Patrícia Poeta</t>
  </si>
  <si>
    <t>09:30</t>
  </si>
  <si>
    <t>ESPO</t>
  </si>
  <si>
    <t>Esporte Espetacular</t>
  </si>
  <si>
    <t>11:10</t>
  </si>
  <si>
    <t>FANT</t>
  </si>
  <si>
    <t>Fantástico</t>
  </si>
  <si>
    <t>20:30</t>
  </si>
  <si>
    <t>FCOM</t>
  </si>
  <si>
    <t>Faixa Combate</t>
  </si>
  <si>
    <t>01:00</t>
  </si>
  <si>
    <t>GESP</t>
  </si>
  <si>
    <t>Globo Esporte</t>
  </si>
  <si>
    <t>Seg/Sáb</t>
  </si>
  <si>
    <t>13:00</t>
  </si>
  <si>
    <t>GREP</t>
  </si>
  <si>
    <t>Globo Repórter</t>
  </si>
  <si>
    <t>06:45</t>
  </si>
  <si>
    <t>GRUD</t>
  </si>
  <si>
    <t>Globo Rural</t>
  </si>
  <si>
    <t>08:40</t>
  </si>
  <si>
    <t>GRUR</t>
  </si>
  <si>
    <t>Globo Rural Reprise</t>
  </si>
  <si>
    <t>HORA</t>
  </si>
  <si>
    <t>Hora Um</t>
  </si>
  <si>
    <t>JGLO</t>
  </si>
  <si>
    <t>Jornal Da Globo</t>
  </si>
  <si>
    <t>01:15</t>
  </si>
  <si>
    <t>JHOJ</t>
  </si>
  <si>
    <t>Jornal Hoje</t>
  </si>
  <si>
    <t>JNAC</t>
  </si>
  <si>
    <t>Jornal Nacional</t>
  </si>
  <si>
    <t>JNAS</t>
  </si>
  <si>
    <t>Jornal Nacional (Sáb)</t>
  </si>
  <si>
    <t>MAVO</t>
  </si>
  <si>
    <t>Mais Você</t>
  </si>
  <si>
    <t>MINI</t>
  </si>
  <si>
    <t>Minissérie 2</t>
  </si>
  <si>
    <t>MINS</t>
  </si>
  <si>
    <t>Minissérie 1</t>
  </si>
  <si>
    <t>N15H</t>
  </si>
  <si>
    <t>Novela da Tarde - Edição Especial</t>
  </si>
  <si>
    <t>Novela</t>
  </si>
  <si>
    <t>14:45</t>
  </si>
  <si>
    <t>N18H</t>
  </si>
  <si>
    <t>Novela I</t>
  </si>
  <si>
    <t>18:25</t>
  </si>
  <si>
    <t>N18S</t>
  </si>
  <si>
    <t>Novela I (Sáb)</t>
  </si>
  <si>
    <t>18:40</t>
  </si>
  <si>
    <t>N19H</t>
  </si>
  <si>
    <t>Novela II</t>
  </si>
  <si>
    <t>19:40</t>
  </si>
  <si>
    <t>N19S</t>
  </si>
  <si>
    <t>Novela II (Sáb)</t>
  </si>
  <si>
    <t>19:45</t>
  </si>
  <si>
    <t>N20F</t>
  </si>
  <si>
    <t>Novela III Final</t>
  </si>
  <si>
    <t>21:20</t>
  </si>
  <si>
    <t>N20H</t>
  </si>
  <si>
    <t>Novela III</t>
  </si>
  <si>
    <t>N20S</t>
  </si>
  <si>
    <t>Novela III (Sáb)</t>
  </si>
  <si>
    <t>NBRA</t>
  </si>
  <si>
    <t>Bom Dia Brasil</t>
  </si>
  <si>
    <t>NOVR</t>
  </si>
  <si>
    <t>Rebatida de Novela</t>
  </si>
  <si>
    <t>02:05</t>
  </si>
  <si>
    <t>PROF</t>
  </si>
  <si>
    <t>Profissão Repórter</t>
  </si>
  <si>
    <t xml:space="preserve">Ter </t>
  </si>
  <si>
    <t>00:00</t>
  </si>
  <si>
    <t>PT2S</t>
  </si>
  <si>
    <t>Praça TV 2ª Edição (Sáb)</t>
  </si>
  <si>
    <t>19:25</t>
  </si>
  <si>
    <t>PTV1</t>
  </si>
  <si>
    <t>Praça TV 1ª Edição</t>
  </si>
  <si>
    <t>11:45</t>
  </si>
  <si>
    <t>PTV2</t>
  </si>
  <si>
    <t>Praça TV 2ª Edição (Seg/Sex)</t>
  </si>
  <si>
    <t>19:10</t>
  </si>
  <si>
    <t>REPO</t>
  </si>
  <si>
    <t>Sex</t>
  </si>
  <si>
    <t>22:35</t>
  </si>
  <si>
    <t>SHO2</t>
  </si>
  <si>
    <t>Show de Segunda-Feira</t>
  </si>
  <si>
    <t>Seg</t>
  </si>
  <si>
    <t>SHO4</t>
  </si>
  <si>
    <t>Show de Quarta-feira II</t>
  </si>
  <si>
    <t>SHO5</t>
  </si>
  <si>
    <t>Show de Quinta-feira II</t>
  </si>
  <si>
    <t xml:space="preserve">Qui </t>
  </si>
  <si>
    <t>23:40</t>
  </si>
  <si>
    <t>SHOD</t>
  </si>
  <si>
    <t>Show de Domingo Noturno</t>
  </si>
  <si>
    <t>SHQ1</t>
  </si>
  <si>
    <t>Show de Quinta-feira I</t>
  </si>
  <si>
    <t>SHT1</t>
  </si>
  <si>
    <t>Show de Terça-feira I</t>
  </si>
  <si>
    <t>SOMB</t>
  </si>
  <si>
    <t>Som Brasil</t>
  </si>
  <si>
    <t>Musical</t>
  </si>
  <si>
    <t>SSAB</t>
  </si>
  <si>
    <t>Sessão de Sábado</t>
  </si>
  <si>
    <t>14:40</t>
  </si>
  <si>
    <t>SSUP</t>
  </si>
  <si>
    <t>Show de Sexta-Feira II</t>
  </si>
  <si>
    <t>Série</t>
  </si>
  <si>
    <t>23:15</t>
  </si>
  <si>
    <t>SUCI</t>
  </si>
  <si>
    <t>Supercine</t>
  </si>
  <si>
    <t>TARA</t>
  </si>
  <si>
    <t>Sessão da Tarde</t>
  </si>
  <si>
    <t>15:25</t>
  </si>
  <si>
    <t>TELA</t>
  </si>
  <si>
    <t>Tela Quente</t>
  </si>
  <si>
    <t>23:30</t>
  </si>
  <si>
    <t>THIS</t>
  </si>
  <si>
    <t>This Is Us</t>
  </si>
  <si>
    <t>23:45</t>
  </si>
  <si>
    <t>TMAX</t>
  </si>
  <si>
    <t>Temperatura Máxima</t>
  </si>
  <si>
    <t>TNOB</t>
  </si>
  <si>
    <t>Show de Terça-feira II</t>
  </si>
  <si>
    <t>TOWN</t>
  </si>
  <si>
    <t>The Town</t>
  </si>
  <si>
    <t>TRIB</t>
  </si>
  <si>
    <t>Tributos</t>
  </si>
  <si>
    <t>VALE</t>
  </si>
  <si>
    <t>Vale A Pena Ver De Novo</t>
  </si>
  <si>
    <t>17:05</t>
  </si>
  <si>
    <t>ELIA</t>
  </si>
  <si>
    <t>Em Familia</t>
  </si>
  <si>
    <t>CONV</t>
  </si>
  <si>
    <t>Convocação Seleção Brasileira</t>
  </si>
  <si>
    <t>PLAY</t>
  </si>
  <si>
    <t>Espiadinha Globoplay</t>
  </si>
  <si>
    <t>SP</t>
  </si>
  <si>
    <t>CENC</t>
  </si>
  <si>
    <t>Central da Copa</t>
  </si>
  <si>
    <t>RJ</t>
  </si>
  <si>
    <t>SECUNDAGEM</t>
  </si>
  <si>
    <t>MULTIPLO</t>
  </si>
  <si>
    <t>INSERÇÕES</t>
  </si>
  <si>
    <t>SIGLA__EXIB</t>
  </si>
  <si>
    <t>Regra</t>
  </si>
  <si>
    <t>Não se aplica</t>
  </si>
  <si>
    <t>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</si>
</sst>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h:mm;@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/>
    </xf>
    <xf numFmtId="3" fontId="0" fillId="0" borderId="0" xfId="0" applyNumberFormat="1"/>
    <xf numFmtId="44" fontId="0" fillId="0" borderId="0" xfId="0" applyNumberFormat="1"/>
    <xf numFmtId="0" fontId="0" fillId="2" borderId="0" xfId="0" applyFill="1"/>
    <xf numFmtId="164" fontId="0" fillId="2" borderId="0" xfId="0" applyNumberFormat="1" applyFill="1" applyAlignment="1">
      <alignment horizontal="center" vertical="center"/>
    </xf>
    <xf numFmtId="3" fontId="0" fillId="2" borderId="0" xfId="0" applyNumberFormat="1" applyFill="1"/>
    <xf numFmtId="44" fontId="0" fillId="2" borderId="0" xfId="0" applyNumberFormat="1" applyFill="1"/>
    <xf numFmtId="0" fontId="0" fillId="3" borderId="0" xfId="0" applyFill="1"/>
    <xf numFmtId="164" fontId="0" fillId="3" borderId="0" xfId="0" applyNumberFormat="1" applyFill="1" applyAlignment="1">
      <alignment horizontal="center" vertical="center"/>
    </xf>
    <xf numFmtId="3" fontId="0" fillId="3" borderId="0" xfId="0" applyNumberFormat="1" applyFill="1"/>
    <xf numFmtId="44" fontId="0" fillId="3" borderId="0" xfId="0" applyNumberFormat="1" applyFill="1"/>
    <xf numFmtId="0" fontId="0" fillId="4" borderId="0" xfId="0" applyFill="1"/>
    <xf numFmtId="164" fontId="0" fillId="4" borderId="0" xfId="0" applyNumberFormat="1" applyFill="1" applyAlignment="1">
      <alignment horizontal="center" vertical="center"/>
    </xf>
    <xf numFmtId="3" fontId="0" fillId="4" borderId="0" xfId="0" applyNumberFormat="1" applyFill="1"/>
    <xf numFmtId="44" fontId="0" fillId="4" borderId="0" xfId="0" applyNumberFormat="1" applyFill="1"/>
    <xf numFmtId="165" fontId="0" fillId="0" borderId="0" xfId="2" applyNumberFormat="1" applyFont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6">
    <dxf>
      <numFmt numFmtId="34" formatCode="_-&quot;R$&quot;\ * #,##0.00_-;\-&quot;R$&quot;\ * #,##0.00_-;_-&quot;R$&quot;\ * &quot;-&quot;??_-;_-@_-"/>
    </dxf>
    <dxf>
      <numFmt numFmtId="3" formatCode="#,##0"/>
    </dxf>
    <dxf>
      <numFmt numFmtId="164" formatCode="h:mm;@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" formatCode="#,##0"/>
    </dxf>
    <dxf>
      <numFmt numFmtId="164" formatCode="h:mm;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2CF37-1555-4343-AE63-EB20A8612E81}" name="Tab_NET" displayName="Tab_NET" ref="A2:H77" totalsRowShown="0">
  <autoFilter ref="A2:H77" xr:uid="{484311D7-E892-0845-8EFE-4A58D6BE9339}"/>
  <tableColumns count="8">
    <tableColumn id="1" xr3:uid="{5F711784-01BC-4054-B233-2366B040DEA2}" name="PGM"/>
    <tableColumn id="2" xr3:uid="{F21BAB17-496F-43B3-9C45-A725F628EAF3}" name="programa_nome"/>
    <tableColumn id="3" xr3:uid="{587DDE11-C449-4EEC-BD6B-C904194591F8}" name="programa_tipo"/>
    <tableColumn id="4" xr3:uid="{345D198A-481C-4A2D-B3D7-DA86C4129D47}" name="genero"/>
    <tableColumn id="5" xr3:uid="{736E4D36-A3C3-420C-B4D8-B3B2B1EDAD7B}" name="dia_semana"/>
    <tableColumn id="6" xr3:uid="{8F13BABF-5EE9-4288-B6B7-EE84AFABA71F}" name="horario_inicio" dataDxfId="5"/>
    <tableColumn id="7" xr3:uid="{94D23F4F-71BB-4E65-B9FA-D3757C3F4E32}" name="Proposta CA" dataDxfId="4"/>
    <tableColumn id="8" xr3:uid="{CD869849-5A05-4D4E-86B5-D1E1FB6E3E34}" name="Comercial Amplificado" dataDxfId="3">
      <calculatedColumnFormula>G3*60/1000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DE027-940C-46DE-BC0E-E0534F9C8597}" name="Tab_Regional" displayName="Tab_Regional" ref="A1:H145" totalsRowShown="0">
  <autoFilter ref="A1:H145" xr:uid="{AF6DE027-940C-46DE-BC0E-E0534F9C8597}"/>
  <tableColumns count="8">
    <tableColumn id="1" xr3:uid="{8CBAF4B9-CFD5-4DC6-8BFA-89AA23374340}" name="PGM"/>
    <tableColumn id="2" xr3:uid="{1326D31C-2FFA-453B-BCB1-0FB76EF166FA}" name="programa_nome"/>
    <tableColumn id="3" xr3:uid="{9B70A156-C1A1-4C71-BB91-E55850AE1399}" name="programa_tipo"/>
    <tableColumn id="4" xr3:uid="{B50535AD-E0C9-4512-B905-FF0EAA6E4828}" name="genero"/>
    <tableColumn id="5" xr3:uid="{15DF4D6C-5FD3-4B40-A33A-F75E6B2B56E4}" name="dia_semana"/>
    <tableColumn id="6" xr3:uid="{1891007A-FAEC-4CF0-A725-07DBFF66794C}" name="horario_inicio" dataDxfId="2"/>
    <tableColumn id="7" xr3:uid="{C6DDF068-A276-4828-B607-4E509D18B19D}" name="Proposta CA" dataDxfId="1"/>
    <tableColumn id="8" xr3:uid="{CBED4B45-247B-4CF8-ADAC-8877C22C62DF}" name="Comercial Amplificado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725E52-C29A-4766-802C-4D31EF034CDB}" name="d_SiglasExceção" displayName="d_SiglasExceção" ref="A1:D27" totalsRowShown="0">
  <autoFilter ref="A1:D27" xr:uid="{88725E52-C29A-4766-802C-4D31EF034CDB}"/>
  <tableColumns count="4">
    <tableColumn id="1" xr3:uid="{6F7DA625-FA25-45A4-A694-83607573D34B}" name="PGM"/>
    <tableColumn id="3" xr3:uid="{E85C0099-3CE2-46C7-9E7F-6E1C1C50D831}" name="programa_tipo"/>
    <tableColumn id="4" xr3:uid="{1C30C69E-705B-41E7-96C6-6C85B3888ADB}" name="SIGLA__EXIB">
      <calculatedColumnFormula>CONCATENATE(d_SiglasExceção[[#This Row],[PGM]],"_",d_SiglasExceção[[#This Row],[programa_tipo]])</calculatedColumnFormula>
    </tableColumn>
    <tableColumn id="2" xr3:uid="{7CEFFCF0-8CD6-4C67-9DAB-0AF301467F22}" name="Reg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98CC-B1BC-410F-AC9B-A6DDE8195C34}">
  <sheetPr codeName="Planilha1"/>
  <dimension ref="A1:L77"/>
  <sheetViews>
    <sheetView tabSelected="1" zoomScaleNormal="100" workbookViewId="0">
      <selection activeCell="D27" sqref="D27"/>
    </sheetView>
  </sheetViews>
  <sheetFormatPr defaultColWidth="10.81640625" defaultRowHeight="14.5" x14ac:dyDescent="0.35"/>
  <cols>
    <col min="1" max="1" width="7.453125" bestFit="1" customWidth="1"/>
    <col min="2" max="2" width="36.26953125" bestFit="1" customWidth="1"/>
    <col min="3" max="3" width="16.26953125" bestFit="1" customWidth="1"/>
    <col min="4" max="4" width="16" bestFit="1" customWidth="1"/>
    <col min="5" max="5" width="13.81640625" bestFit="1" customWidth="1"/>
    <col min="6" max="6" width="15.7265625" bestFit="1" customWidth="1"/>
    <col min="7" max="7" width="14.26953125" bestFit="1" customWidth="1"/>
    <col min="8" max="8" width="24.1796875" bestFit="1" customWidth="1"/>
    <col min="10" max="10" width="10.7265625" bestFit="1" customWidth="1"/>
    <col min="11" max="11" width="4.81640625" bestFit="1" customWidth="1"/>
    <col min="12" max="12" width="8.26953125" bestFit="1" customWidth="1"/>
  </cols>
  <sheetData>
    <row r="1" spans="1:12" x14ac:dyDescent="0.35">
      <c r="J1" s="1" t="s">
        <v>0</v>
      </c>
      <c r="K1" s="1" t="s">
        <v>1</v>
      </c>
      <c r="L1" t="s">
        <v>2</v>
      </c>
    </row>
    <row r="2" spans="1:12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J2" s="1" t="s">
        <v>11</v>
      </c>
      <c r="K2" s="1">
        <v>24</v>
      </c>
      <c r="L2">
        <v>0.4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 t="s">
        <v>17</v>
      </c>
      <c r="G3" s="3">
        <v>182080</v>
      </c>
      <c r="H3" s="4">
        <v>10925</v>
      </c>
      <c r="J3" s="1" t="s">
        <v>18</v>
      </c>
      <c r="K3" s="1">
        <v>27</v>
      </c>
      <c r="L3">
        <v>0.45</v>
      </c>
    </row>
    <row r="4" spans="1:12" x14ac:dyDescent="0.35">
      <c r="A4" s="5" t="s">
        <v>19</v>
      </c>
      <c r="B4" s="5" t="s">
        <v>20</v>
      </c>
      <c r="C4" s="5" t="s">
        <v>14</v>
      </c>
      <c r="D4" s="5" t="s">
        <v>21</v>
      </c>
      <c r="E4" s="5" t="s">
        <v>22</v>
      </c>
      <c r="F4" s="6" t="s">
        <v>23</v>
      </c>
      <c r="G4" s="7">
        <v>91040</v>
      </c>
      <c r="H4" s="8">
        <v>5460</v>
      </c>
      <c r="J4" s="1" t="s">
        <v>24</v>
      </c>
      <c r="K4" s="1">
        <v>45</v>
      </c>
      <c r="L4">
        <v>0.75</v>
      </c>
    </row>
    <row r="5" spans="1:12" x14ac:dyDescent="0.35">
      <c r="A5" t="s">
        <v>25</v>
      </c>
      <c r="B5" t="s">
        <v>26</v>
      </c>
      <c r="C5" t="s">
        <v>14</v>
      </c>
      <c r="D5" t="s">
        <v>27</v>
      </c>
      <c r="E5" t="s">
        <v>28</v>
      </c>
      <c r="F5" s="2" t="s">
        <v>29</v>
      </c>
      <c r="G5" s="3">
        <v>65760</v>
      </c>
      <c r="H5" s="4">
        <v>3945</v>
      </c>
      <c r="J5" s="1" t="s">
        <v>30</v>
      </c>
      <c r="K5" s="1">
        <v>60</v>
      </c>
      <c r="L5">
        <v>1</v>
      </c>
    </row>
    <row r="6" spans="1:12" x14ac:dyDescent="0.35">
      <c r="A6" t="s">
        <v>31</v>
      </c>
      <c r="B6" t="s">
        <v>32</v>
      </c>
      <c r="C6" t="s">
        <v>14</v>
      </c>
      <c r="D6" t="s">
        <v>33</v>
      </c>
      <c r="F6" s="2"/>
      <c r="G6" s="3">
        <v>328880</v>
      </c>
      <c r="H6" s="4">
        <f>G6*60/1000</f>
        <v>19732.8</v>
      </c>
      <c r="J6" s="1" t="s">
        <v>34</v>
      </c>
      <c r="K6" s="1">
        <v>90</v>
      </c>
      <c r="L6">
        <v>1.5</v>
      </c>
    </row>
    <row r="7" spans="1:12" x14ac:dyDescent="0.35">
      <c r="A7" t="s">
        <v>35</v>
      </c>
      <c r="B7" t="s">
        <v>36</v>
      </c>
      <c r="C7" t="s">
        <v>14</v>
      </c>
      <c r="D7" t="s">
        <v>33</v>
      </c>
      <c r="F7" s="2"/>
      <c r="G7" s="3">
        <v>768480</v>
      </c>
      <c r="H7" s="4">
        <f>G7*60/1000</f>
        <v>46108.800000000003</v>
      </c>
      <c r="J7" s="1" t="s">
        <v>37</v>
      </c>
      <c r="K7" s="1">
        <v>120</v>
      </c>
      <c r="L7">
        <v>2</v>
      </c>
    </row>
    <row r="8" spans="1:12" x14ac:dyDescent="0.35">
      <c r="A8" t="s">
        <v>38</v>
      </c>
      <c r="B8" t="s">
        <v>39</v>
      </c>
      <c r="C8" t="s">
        <v>14</v>
      </c>
      <c r="D8" t="s">
        <v>40</v>
      </c>
      <c r="E8" t="s">
        <v>16</v>
      </c>
      <c r="F8" s="2" t="s">
        <v>41</v>
      </c>
      <c r="G8" s="3">
        <v>66160</v>
      </c>
      <c r="H8" s="4">
        <v>3970</v>
      </c>
    </row>
    <row r="9" spans="1:12" x14ac:dyDescent="0.35">
      <c r="A9" s="5" t="s">
        <v>42</v>
      </c>
      <c r="B9" s="5" t="s">
        <v>43</v>
      </c>
      <c r="C9" s="5" t="s">
        <v>14</v>
      </c>
      <c r="D9" s="5" t="s">
        <v>40</v>
      </c>
      <c r="E9" s="5" t="s">
        <v>28</v>
      </c>
      <c r="F9" s="6" t="s">
        <v>44</v>
      </c>
      <c r="G9" s="7">
        <v>105280</v>
      </c>
      <c r="H9" s="8">
        <v>6315</v>
      </c>
    </row>
    <row r="10" spans="1:12" x14ac:dyDescent="0.35">
      <c r="A10" t="s">
        <v>45</v>
      </c>
      <c r="B10" t="s">
        <v>46</v>
      </c>
      <c r="C10" t="s">
        <v>14</v>
      </c>
      <c r="D10" t="s">
        <v>27</v>
      </c>
      <c r="E10" t="s">
        <v>22</v>
      </c>
      <c r="F10" s="2" t="s">
        <v>47</v>
      </c>
      <c r="G10" s="3">
        <v>135440</v>
      </c>
      <c r="H10" s="4">
        <v>8125</v>
      </c>
    </row>
    <row r="11" spans="1:12" x14ac:dyDescent="0.35">
      <c r="A11" s="5" t="s">
        <v>48</v>
      </c>
      <c r="B11" s="5" t="s">
        <v>49</v>
      </c>
      <c r="C11" s="5" t="s">
        <v>14</v>
      </c>
      <c r="D11" s="5" t="s">
        <v>15</v>
      </c>
      <c r="E11" s="5" t="s">
        <v>16</v>
      </c>
      <c r="F11" s="6" t="s">
        <v>50</v>
      </c>
      <c r="G11" s="7">
        <v>149760</v>
      </c>
      <c r="H11" s="8">
        <v>8985</v>
      </c>
    </row>
    <row r="12" spans="1:12" x14ac:dyDescent="0.35">
      <c r="A12" s="5" t="s">
        <v>51</v>
      </c>
      <c r="B12" s="5" t="s">
        <v>52</v>
      </c>
      <c r="C12" s="5" t="s">
        <v>14</v>
      </c>
      <c r="D12" s="5" t="s">
        <v>53</v>
      </c>
      <c r="E12" s="5" t="s">
        <v>16</v>
      </c>
      <c r="F12" s="6" t="s">
        <v>54</v>
      </c>
      <c r="G12" s="7">
        <v>96000</v>
      </c>
      <c r="H12" s="8">
        <v>5760</v>
      </c>
      <c r="J12" s="4"/>
    </row>
    <row r="13" spans="1:12" x14ac:dyDescent="0.35">
      <c r="A13" s="5" t="s">
        <v>55</v>
      </c>
      <c r="B13" s="5" t="s">
        <v>56</v>
      </c>
      <c r="C13" s="5" t="s">
        <v>14</v>
      </c>
      <c r="D13" s="5" t="s">
        <v>57</v>
      </c>
      <c r="E13" s="5" t="s">
        <v>22</v>
      </c>
      <c r="F13" s="6" t="s">
        <v>29</v>
      </c>
      <c r="G13" s="7">
        <v>117600</v>
      </c>
      <c r="H13" s="8">
        <v>7055</v>
      </c>
      <c r="J13" s="4"/>
    </row>
    <row r="14" spans="1:12" x14ac:dyDescent="0.35">
      <c r="A14" s="9" t="s">
        <v>58</v>
      </c>
      <c r="B14" s="9" t="s">
        <v>59</v>
      </c>
      <c r="C14" s="9" t="s">
        <v>14</v>
      </c>
      <c r="D14" s="9" t="s">
        <v>60</v>
      </c>
      <c r="E14" s="9"/>
      <c r="F14" s="10"/>
      <c r="G14" s="11">
        <v>0</v>
      </c>
      <c r="H14" s="12">
        <f>G14*60/1000</f>
        <v>0</v>
      </c>
      <c r="J14" s="4"/>
    </row>
    <row r="15" spans="1:12" x14ac:dyDescent="0.35">
      <c r="A15" t="s">
        <v>61</v>
      </c>
      <c r="B15" t="s">
        <v>62</v>
      </c>
      <c r="C15" t="s">
        <v>14</v>
      </c>
      <c r="D15" t="s">
        <v>33</v>
      </c>
      <c r="E15" t="s">
        <v>63</v>
      </c>
      <c r="F15" s="2" t="s">
        <v>64</v>
      </c>
      <c r="G15" s="3">
        <v>344800</v>
      </c>
      <c r="H15" s="4">
        <v>20690</v>
      </c>
      <c r="J15" s="4"/>
    </row>
    <row r="16" spans="1:12" x14ac:dyDescent="0.35">
      <c r="A16" t="s">
        <v>65</v>
      </c>
      <c r="B16" t="s">
        <v>66</v>
      </c>
      <c r="C16" t="s">
        <v>14</v>
      </c>
      <c r="D16" t="s">
        <v>57</v>
      </c>
      <c r="E16" t="s">
        <v>22</v>
      </c>
      <c r="F16" s="2" t="s">
        <v>67</v>
      </c>
      <c r="G16" s="3">
        <v>40160</v>
      </c>
      <c r="H16" s="4">
        <v>2410</v>
      </c>
      <c r="J16" s="4"/>
    </row>
    <row r="17" spans="1:10" x14ac:dyDescent="0.35">
      <c r="A17" t="s">
        <v>68</v>
      </c>
      <c r="B17" t="s">
        <v>69</v>
      </c>
      <c r="C17" t="s">
        <v>14</v>
      </c>
      <c r="D17" t="s">
        <v>57</v>
      </c>
      <c r="E17" t="s">
        <v>70</v>
      </c>
      <c r="F17" s="2" t="s">
        <v>29</v>
      </c>
      <c r="G17" s="3">
        <v>186400</v>
      </c>
      <c r="H17" s="4">
        <v>11185</v>
      </c>
      <c r="J17" s="4"/>
    </row>
    <row r="18" spans="1:10" x14ac:dyDescent="0.35">
      <c r="A18" t="s">
        <v>71</v>
      </c>
      <c r="B18" t="s">
        <v>72</v>
      </c>
      <c r="C18" t="s">
        <v>14</v>
      </c>
      <c r="D18" t="s">
        <v>73</v>
      </c>
      <c r="E18" t="s">
        <v>28</v>
      </c>
      <c r="F18" s="2" t="s">
        <v>74</v>
      </c>
      <c r="G18" s="3">
        <v>0</v>
      </c>
      <c r="H18" s="4">
        <f>G18*60/1000</f>
        <v>0</v>
      </c>
      <c r="J18" s="4"/>
    </row>
    <row r="19" spans="1:10" x14ac:dyDescent="0.35">
      <c r="A19" t="s">
        <v>75</v>
      </c>
      <c r="B19" t="s">
        <v>76</v>
      </c>
      <c r="C19" t="s">
        <v>14</v>
      </c>
      <c r="D19" t="s">
        <v>57</v>
      </c>
      <c r="E19" t="s">
        <v>77</v>
      </c>
      <c r="F19" s="2" t="s">
        <v>78</v>
      </c>
      <c r="G19" s="3">
        <v>31120</v>
      </c>
      <c r="H19" s="4">
        <v>1870</v>
      </c>
      <c r="J19" s="4"/>
    </row>
    <row r="20" spans="1:10" x14ac:dyDescent="0.35">
      <c r="A20" s="9" t="s">
        <v>79</v>
      </c>
      <c r="B20" s="9" t="s">
        <v>80</v>
      </c>
      <c r="C20" s="9" t="s">
        <v>14</v>
      </c>
      <c r="D20" s="9" t="s">
        <v>81</v>
      </c>
      <c r="E20" s="9"/>
      <c r="F20" s="10"/>
      <c r="G20" s="11">
        <v>102720</v>
      </c>
      <c r="H20" s="12">
        <v>6165</v>
      </c>
      <c r="J20" s="4"/>
    </row>
    <row r="21" spans="1:10" x14ac:dyDescent="0.35">
      <c r="A21" t="s">
        <v>82</v>
      </c>
      <c r="B21" t="s">
        <v>83</v>
      </c>
      <c r="C21" t="s">
        <v>14</v>
      </c>
      <c r="D21" t="s">
        <v>15</v>
      </c>
      <c r="E21" t="s">
        <v>22</v>
      </c>
      <c r="F21" s="2" t="s">
        <v>29</v>
      </c>
      <c r="G21" s="3">
        <v>138800</v>
      </c>
      <c r="H21" s="4">
        <v>8330</v>
      </c>
      <c r="J21" s="4"/>
    </row>
    <row r="22" spans="1:10" x14ac:dyDescent="0.35">
      <c r="A22" t="s">
        <v>84</v>
      </c>
      <c r="B22" t="s">
        <v>85</v>
      </c>
      <c r="C22" t="s">
        <v>14</v>
      </c>
      <c r="D22" t="s">
        <v>57</v>
      </c>
      <c r="E22" t="s">
        <v>22</v>
      </c>
      <c r="F22" s="2" t="s">
        <v>86</v>
      </c>
      <c r="G22" s="3">
        <v>64960</v>
      </c>
      <c r="H22" s="4">
        <v>3900</v>
      </c>
      <c r="J22" s="4"/>
    </row>
    <row r="23" spans="1:10" x14ac:dyDescent="0.35">
      <c r="A23" t="s">
        <v>87</v>
      </c>
      <c r="B23" t="s">
        <v>88</v>
      </c>
      <c r="C23" t="s">
        <v>14</v>
      </c>
      <c r="D23" t="s">
        <v>15</v>
      </c>
      <c r="E23" t="s">
        <v>22</v>
      </c>
      <c r="F23" s="2" t="s">
        <v>89</v>
      </c>
      <c r="G23" s="3">
        <v>270080</v>
      </c>
      <c r="H23" s="4">
        <v>16205</v>
      </c>
      <c r="J23" s="4"/>
    </row>
    <row r="24" spans="1:10" x14ac:dyDescent="0.35">
      <c r="A24" s="9" t="s">
        <v>90</v>
      </c>
      <c r="B24" s="9" t="s">
        <v>91</v>
      </c>
      <c r="C24" s="9" t="s">
        <v>14</v>
      </c>
      <c r="D24" s="9" t="s">
        <v>33</v>
      </c>
      <c r="E24" s="9"/>
      <c r="F24" s="10"/>
      <c r="G24" s="11">
        <v>0</v>
      </c>
      <c r="H24" s="12">
        <f>G24*60/1000</f>
        <v>0</v>
      </c>
      <c r="J24" s="4"/>
    </row>
    <row r="25" spans="1:10" x14ac:dyDescent="0.35">
      <c r="A25" t="s">
        <v>92</v>
      </c>
      <c r="B25" t="s">
        <v>93</v>
      </c>
      <c r="C25" t="s">
        <v>14</v>
      </c>
      <c r="D25" t="s">
        <v>94</v>
      </c>
      <c r="E25" t="s">
        <v>16</v>
      </c>
      <c r="F25" s="2" t="s">
        <v>95</v>
      </c>
      <c r="G25" s="3">
        <v>68000</v>
      </c>
      <c r="H25" s="4">
        <v>4080</v>
      </c>
      <c r="J25" s="4"/>
    </row>
    <row r="26" spans="1:10" x14ac:dyDescent="0.35">
      <c r="A26" s="5" t="s">
        <v>96</v>
      </c>
      <c r="B26" s="5" t="s">
        <v>97</v>
      </c>
      <c r="C26" s="5" t="s">
        <v>14</v>
      </c>
      <c r="D26" s="5" t="s">
        <v>53</v>
      </c>
      <c r="E26" s="5" t="s">
        <v>28</v>
      </c>
      <c r="F26" s="6" t="s">
        <v>98</v>
      </c>
      <c r="G26" s="7">
        <v>114960</v>
      </c>
      <c r="H26" s="8">
        <v>6900</v>
      </c>
      <c r="J26" s="4"/>
    </row>
    <row r="27" spans="1:10" x14ac:dyDescent="0.35">
      <c r="A27" s="5" t="s">
        <v>99</v>
      </c>
      <c r="B27" s="5" t="s">
        <v>100</v>
      </c>
      <c r="C27" s="5" t="s">
        <v>14</v>
      </c>
      <c r="D27" s="5" t="s">
        <v>60</v>
      </c>
      <c r="E27" s="5" t="s">
        <v>22</v>
      </c>
      <c r="F27" s="6" t="s">
        <v>101</v>
      </c>
      <c r="G27" s="7">
        <v>130960</v>
      </c>
      <c r="H27" s="8">
        <v>7860</v>
      </c>
      <c r="J27" s="4"/>
    </row>
    <row r="28" spans="1:10" x14ac:dyDescent="0.35">
      <c r="A28" s="5" t="s">
        <v>102</v>
      </c>
      <c r="B28" s="5" t="s">
        <v>103</v>
      </c>
      <c r="C28" s="5" t="s">
        <v>14</v>
      </c>
      <c r="D28" s="5" t="s">
        <v>94</v>
      </c>
      <c r="E28" s="5" t="s">
        <v>22</v>
      </c>
      <c r="F28" s="6" t="s">
        <v>104</v>
      </c>
      <c r="G28" s="7">
        <v>350080</v>
      </c>
      <c r="H28" s="8">
        <v>21005</v>
      </c>
      <c r="J28" s="4"/>
    </row>
    <row r="29" spans="1:10" x14ac:dyDescent="0.35">
      <c r="A29" s="9" t="s">
        <v>105</v>
      </c>
      <c r="B29" s="9" t="s">
        <v>106</v>
      </c>
      <c r="C29" s="9" t="s">
        <v>14</v>
      </c>
      <c r="D29" s="9" t="s">
        <v>60</v>
      </c>
      <c r="E29" s="9" t="s">
        <v>16</v>
      </c>
      <c r="F29" s="10" t="s">
        <v>107</v>
      </c>
      <c r="G29" s="11">
        <v>0</v>
      </c>
      <c r="H29" s="12">
        <f>G29*60/1000</f>
        <v>0</v>
      </c>
      <c r="J29" s="4"/>
    </row>
    <row r="30" spans="1:10" x14ac:dyDescent="0.35">
      <c r="A30" s="13" t="s">
        <v>108</v>
      </c>
      <c r="B30" s="13" t="s">
        <v>109</v>
      </c>
      <c r="C30" s="13" t="s">
        <v>14</v>
      </c>
      <c r="D30" s="13" t="s">
        <v>60</v>
      </c>
      <c r="E30" s="13" t="s">
        <v>110</v>
      </c>
      <c r="F30" s="14" t="s">
        <v>111</v>
      </c>
      <c r="G30" s="15">
        <v>190960</v>
      </c>
      <c r="H30" s="16">
        <v>11460</v>
      </c>
      <c r="J30" s="4"/>
    </row>
    <row r="31" spans="1:10" x14ac:dyDescent="0.35">
      <c r="A31" s="5" t="s">
        <v>112</v>
      </c>
      <c r="B31" s="5" t="s">
        <v>113</v>
      </c>
      <c r="C31" s="5" t="s">
        <v>14</v>
      </c>
      <c r="D31" s="5" t="s">
        <v>94</v>
      </c>
      <c r="E31" s="5" t="s">
        <v>22</v>
      </c>
      <c r="F31" s="6" t="s">
        <v>114</v>
      </c>
      <c r="G31" s="7">
        <v>56160</v>
      </c>
      <c r="H31" s="8">
        <v>3370</v>
      </c>
      <c r="J31" s="4"/>
    </row>
    <row r="32" spans="1:10" x14ac:dyDescent="0.35">
      <c r="A32" s="5" t="s">
        <v>115</v>
      </c>
      <c r="B32" s="5" t="s">
        <v>116</v>
      </c>
      <c r="C32" s="5" t="s">
        <v>14</v>
      </c>
      <c r="D32" s="5" t="s">
        <v>40</v>
      </c>
      <c r="E32" s="5" t="s">
        <v>22</v>
      </c>
      <c r="F32" s="6" t="s">
        <v>117</v>
      </c>
      <c r="G32" s="7">
        <v>79100</v>
      </c>
      <c r="H32" s="8">
        <v>4745</v>
      </c>
      <c r="J32" s="4"/>
    </row>
    <row r="33" spans="1:10" x14ac:dyDescent="0.35">
      <c r="A33" t="s">
        <v>118</v>
      </c>
      <c r="B33" t="s">
        <v>119</v>
      </c>
      <c r="C33" t="s">
        <v>14</v>
      </c>
      <c r="D33" t="s">
        <v>94</v>
      </c>
      <c r="E33" t="s">
        <v>16</v>
      </c>
      <c r="F33" s="2" t="s">
        <v>44</v>
      </c>
      <c r="G33" s="3">
        <v>36880</v>
      </c>
      <c r="H33" s="4">
        <v>2210</v>
      </c>
      <c r="J33" s="4"/>
    </row>
    <row r="34" spans="1:10" x14ac:dyDescent="0.35">
      <c r="A34" t="s">
        <v>120</v>
      </c>
      <c r="B34" t="s">
        <v>121</v>
      </c>
      <c r="C34" t="s">
        <v>14</v>
      </c>
      <c r="D34" t="s">
        <v>40</v>
      </c>
      <c r="E34" t="s">
        <v>28</v>
      </c>
      <c r="F34" s="2">
        <v>0.16666666666666666</v>
      </c>
      <c r="G34" s="3">
        <v>42160</v>
      </c>
      <c r="H34" s="4">
        <v>2530</v>
      </c>
      <c r="J34" s="4"/>
    </row>
    <row r="35" spans="1:10" x14ac:dyDescent="0.35">
      <c r="A35" t="s">
        <v>122</v>
      </c>
      <c r="B35" t="s">
        <v>123</v>
      </c>
      <c r="C35" t="s">
        <v>14</v>
      </c>
      <c r="D35" t="s">
        <v>40</v>
      </c>
      <c r="E35" t="s">
        <v>28</v>
      </c>
      <c r="F35" s="2" t="s">
        <v>124</v>
      </c>
      <c r="G35" s="3">
        <v>86240</v>
      </c>
      <c r="H35" s="4">
        <v>5175</v>
      </c>
      <c r="J35" s="4"/>
    </row>
    <row r="36" spans="1:10" x14ac:dyDescent="0.35">
      <c r="A36" s="5" t="s">
        <v>125</v>
      </c>
      <c r="B36" s="5" t="s">
        <v>126</v>
      </c>
      <c r="C36" s="5" t="s">
        <v>14</v>
      </c>
      <c r="D36" s="5" t="s">
        <v>40</v>
      </c>
      <c r="E36" s="5" t="s">
        <v>28</v>
      </c>
      <c r="F36" s="6">
        <v>0.55902777777777779</v>
      </c>
      <c r="G36" s="7">
        <v>190960</v>
      </c>
      <c r="H36" s="8">
        <v>11460</v>
      </c>
      <c r="J36" s="4"/>
    </row>
    <row r="37" spans="1:10" x14ac:dyDescent="0.35">
      <c r="A37" s="5" t="s">
        <v>127</v>
      </c>
      <c r="B37" s="5" t="s">
        <v>128</v>
      </c>
      <c r="C37" s="5" t="s">
        <v>14</v>
      </c>
      <c r="D37" s="5" t="s">
        <v>40</v>
      </c>
      <c r="E37" s="5" t="s">
        <v>28</v>
      </c>
      <c r="F37" s="6" t="s">
        <v>104</v>
      </c>
      <c r="G37" s="7">
        <v>317655</v>
      </c>
      <c r="H37" s="8">
        <v>19060</v>
      </c>
      <c r="J37" s="4"/>
    </row>
    <row r="38" spans="1:10" x14ac:dyDescent="0.35">
      <c r="A38" s="5" t="s">
        <v>129</v>
      </c>
      <c r="B38" s="5" t="s">
        <v>130</v>
      </c>
      <c r="C38" s="5" t="s">
        <v>14</v>
      </c>
      <c r="D38" s="5" t="s">
        <v>40</v>
      </c>
      <c r="E38" s="5" t="s">
        <v>28</v>
      </c>
      <c r="F38" s="6" t="s">
        <v>104</v>
      </c>
      <c r="G38" s="7">
        <v>264290</v>
      </c>
      <c r="H38" s="8">
        <v>15855</v>
      </c>
      <c r="J38" s="4"/>
    </row>
    <row r="39" spans="1:10" x14ac:dyDescent="0.35">
      <c r="A39" s="5" t="s">
        <v>131</v>
      </c>
      <c r="B39" s="5" t="s">
        <v>132</v>
      </c>
      <c r="C39" s="5" t="s">
        <v>14</v>
      </c>
      <c r="D39" s="5" t="s">
        <v>53</v>
      </c>
      <c r="E39" s="5" t="s">
        <v>28</v>
      </c>
      <c r="F39" s="6">
        <v>0.44097222222222221</v>
      </c>
      <c r="G39" s="7">
        <v>124480</v>
      </c>
      <c r="H39" s="8">
        <v>7470</v>
      </c>
      <c r="J39" s="4"/>
    </row>
    <row r="40" spans="1:10" x14ac:dyDescent="0.35">
      <c r="A40" s="5" t="s">
        <v>133</v>
      </c>
      <c r="B40" s="5" t="s">
        <v>134</v>
      </c>
      <c r="C40" s="5" t="s">
        <v>14</v>
      </c>
      <c r="D40" s="5" t="s">
        <v>29</v>
      </c>
      <c r="E40" s="5" t="s">
        <v>28</v>
      </c>
      <c r="F40" s="6" t="s">
        <v>29</v>
      </c>
      <c r="G40" s="7">
        <v>128720</v>
      </c>
      <c r="H40" s="8">
        <v>7725</v>
      </c>
      <c r="J40" s="4"/>
    </row>
    <row r="41" spans="1:10" x14ac:dyDescent="0.35">
      <c r="A41" t="s">
        <v>135</v>
      </c>
      <c r="B41" t="s">
        <v>136</v>
      </c>
      <c r="C41" t="s">
        <v>14</v>
      </c>
      <c r="D41" t="s">
        <v>29</v>
      </c>
      <c r="E41" t="s">
        <v>28</v>
      </c>
      <c r="F41" s="2" t="s">
        <v>29</v>
      </c>
      <c r="G41" s="3">
        <v>222080</v>
      </c>
      <c r="H41" s="4">
        <v>13325</v>
      </c>
      <c r="J41" s="4"/>
    </row>
    <row r="42" spans="1:10" x14ac:dyDescent="0.35">
      <c r="A42" t="s">
        <v>137</v>
      </c>
      <c r="B42" t="s">
        <v>138</v>
      </c>
      <c r="C42" t="s">
        <v>14</v>
      </c>
      <c r="D42" t="s">
        <v>139</v>
      </c>
      <c r="E42" t="s">
        <v>110</v>
      </c>
      <c r="F42" s="2" t="s">
        <v>140</v>
      </c>
      <c r="G42" s="3">
        <v>190080</v>
      </c>
      <c r="H42" s="4">
        <v>11405</v>
      </c>
      <c r="J42" s="4"/>
    </row>
    <row r="43" spans="1:10" x14ac:dyDescent="0.35">
      <c r="A43" s="5" t="s">
        <v>141</v>
      </c>
      <c r="B43" s="5" t="s">
        <v>142</v>
      </c>
      <c r="C43" s="5" t="s">
        <v>14</v>
      </c>
      <c r="D43" s="5" t="s">
        <v>139</v>
      </c>
      <c r="E43" s="5" t="s">
        <v>28</v>
      </c>
      <c r="F43" s="6" t="s">
        <v>143</v>
      </c>
      <c r="G43" s="7">
        <v>315520</v>
      </c>
      <c r="H43" s="8">
        <v>18930</v>
      </c>
      <c r="J43" s="4"/>
    </row>
    <row r="44" spans="1:10" x14ac:dyDescent="0.35">
      <c r="A44" t="s">
        <v>144</v>
      </c>
      <c r="B44" t="s">
        <v>145</v>
      </c>
      <c r="C44" t="s">
        <v>14</v>
      </c>
      <c r="D44" t="s">
        <v>139</v>
      </c>
      <c r="E44" t="s">
        <v>16</v>
      </c>
      <c r="F44" s="2" t="s">
        <v>146</v>
      </c>
      <c r="G44" s="3">
        <v>264320</v>
      </c>
      <c r="H44" s="4">
        <v>15860</v>
      </c>
      <c r="J44" s="4"/>
    </row>
    <row r="45" spans="1:10" x14ac:dyDescent="0.35">
      <c r="A45" s="5" t="s">
        <v>147</v>
      </c>
      <c r="B45" s="5" t="s">
        <v>148</v>
      </c>
      <c r="C45" s="5" t="s">
        <v>14</v>
      </c>
      <c r="D45" s="5" t="s">
        <v>139</v>
      </c>
      <c r="E45" s="5" t="s">
        <v>28</v>
      </c>
      <c r="F45" s="6" t="s">
        <v>149</v>
      </c>
      <c r="G45" s="7">
        <v>379440</v>
      </c>
      <c r="H45" s="8">
        <v>22765</v>
      </c>
      <c r="J45" s="4"/>
    </row>
    <row r="46" spans="1:10" x14ac:dyDescent="0.35">
      <c r="A46" t="s">
        <v>150</v>
      </c>
      <c r="B46" t="s">
        <v>151</v>
      </c>
      <c r="C46" t="s">
        <v>14</v>
      </c>
      <c r="D46" t="s">
        <v>139</v>
      </c>
      <c r="E46" t="s">
        <v>16</v>
      </c>
      <c r="F46" s="2" t="s">
        <v>152</v>
      </c>
      <c r="G46" s="3">
        <v>308800</v>
      </c>
      <c r="H46" s="4">
        <v>18530</v>
      </c>
      <c r="J46" s="4"/>
    </row>
    <row r="47" spans="1:10" x14ac:dyDescent="0.35">
      <c r="A47" s="9" t="s">
        <v>153</v>
      </c>
      <c r="B47" s="9" t="s">
        <v>154</v>
      </c>
      <c r="C47" s="9" t="s">
        <v>14</v>
      </c>
      <c r="D47" s="9" t="s">
        <v>139</v>
      </c>
      <c r="E47" s="9" t="s">
        <v>28</v>
      </c>
      <c r="F47" s="10" t="s">
        <v>155</v>
      </c>
      <c r="G47" s="11">
        <v>736880</v>
      </c>
      <c r="H47" s="12">
        <f>G47*60/1000</f>
        <v>44212.800000000003</v>
      </c>
      <c r="J47" s="4"/>
    </row>
    <row r="48" spans="1:10" x14ac:dyDescent="0.35">
      <c r="A48" t="s">
        <v>156</v>
      </c>
      <c r="B48" t="s">
        <v>157</v>
      </c>
      <c r="C48" t="s">
        <v>14</v>
      </c>
      <c r="D48" t="s">
        <v>139</v>
      </c>
      <c r="E48" t="s">
        <v>28</v>
      </c>
      <c r="F48" s="2" t="s">
        <v>155</v>
      </c>
      <c r="G48" s="3">
        <v>455280</v>
      </c>
      <c r="H48" s="4">
        <v>27315</v>
      </c>
      <c r="J48" s="4"/>
    </row>
    <row r="49" spans="1:10" x14ac:dyDescent="0.35">
      <c r="A49" t="s">
        <v>158</v>
      </c>
      <c r="B49" t="s">
        <v>159</v>
      </c>
      <c r="C49" t="s">
        <v>14</v>
      </c>
      <c r="D49" t="s">
        <v>139</v>
      </c>
      <c r="E49" t="s">
        <v>16</v>
      </c>
      <c r="F49" s="2" t="s">
        <v>155</v>
      </c>
      <c r="G49" s="3">
        <v>379280</v>
      </c>
      <c r="H49" s="4">
        <v>22755</v>
      </c>
      <c r="J49" s="4"/>
    </row>
    <row r="50" spans="1:10" x14ac:dyDescent="0.35">
      <c r="A50" s="5" t="s">
        <v>160</v>
      </c>
      <c r="B50" s="5" t="s">
        <v>161</v>
      </c>
      <c r="C50" s="5" t="s">
        <v>14</v>
      </c>
      <c r="D50" s="5" t="s">
        <v>40</v>
      </c>
      <c r="E50" s="5" t="s">
        <v>28</v>
      </c>
      <c r="F50" s="6" t="s">
        <v>54</v>
      </c>
      <c r="G50" s="7">
        <v>132240</v>
      </c>
      <c r="H50" s="8">
        <v>7935</v>
      </c>
      <c r="J50" s="4"/>
    </row>
    <row r="51" spans="1:10" x14ac:dyDescent="0.35">
      <c r="A51" t="s">
        <v>162</v>
      </c>
      <c r="B51" t="s">
        <v>163</v>
      </c>
      <c r="C51" t="s">
        <v>14</v>
      </c>
      <c r="D51" t="s">
        <v>139</v>
      </c>
      <c r="E51" t="s">
        <v>110</v>
      </c>
      <c r="F51" s="2" t="s">
        <v>164</v>
      </c>
      <c r="G51" s="3">
        <v>42160</v>
      </c>
      <c r="H51" s="4">
        <v>2530</v>
      </c>
      <c r="J51" s="4"/>
    </row>
    <row r="52" spans="1:10" x14ac:dyDescent="0.35">
      <c r="A52" t="s">
        <v>165</v>
      </c>
      <c r="B52" t="s">
        <v>166</v>
      </c>
      <c r="C52" t="s">
        <v>14</v>
      </c>
      <c r="D52" t="s">
        <v>94</v>
      </c>
      <c r="E52" t="s">
        <v>167</v>
      </c>
      <c r="F52" s="2" t="s">
        <v>168</v>
      </c>
      <c r="G52" s="3">
        <v>145440</v>
      </c>
      <c r="H52" s="4">
        <v>8725</v>
      </c>
      <c r="J52" s="4"/>
    </row>
    <row r="53" spans="1:10" x14ac:dyDescent="0.35">
      <c r="A53" t="s">
        <v>169</v>
      </c>
      <c r="B53" t="s">
        <v>170</v>
      </c>
      <c r="C53" t="s">
        <v>14</v>
      </c>
      <c r="D53" t="s">
        <v>40</v>
      </c>
      <c r="E53" t="s">
        <v>16</v>
      </c>
      <c r="F53" s="2" t="s">
        <v>171</v>
      </c>
      <c r="G53" s="3">
        <v>272240</v>
      </c>
      <c r="H53" s="4">
        <v>16335</v>
      </c>
      <c r="J53" s="4"/>
    </row>
    <row r="54" spans="1:10" x14ac:dyDescent="0.35">
      <c r="A54" s="5" t="s">
        <v>172</v>
      </c>
      <c r="B54" s="5" t="s">
        <v>173</v>
      </c>
      <c r="C54" s="5" t="s">
        <v>14</v>
      </c>
      <c r="D54" s="5" t="s">
        <v>40</v>
      </c>
      <c r="E54" s="5" t="s">
        <v>110</v>
      </c>
      <c r="F54" s="6" t="s">
        <v>174</v>
      </c>
      <c r="G54" s="7">
        <v>170640</v>
      </c>
      <c r="H54" s="8">
        <v>10240</v>
      </c>
      <c r="J54" s="4"/>
    </row>
    <row r="55" spans="1:10" x14ac:dyDescent="0.35">
      <c r="A55" s="5" t="s">
        <v>175</v>
      </c>
      <c r="B55" s="5" t="s">
        <v>176</v>
      </c>
      <c r="C55" s="5" t="s">
        <v>14</v>
      </c>
      <c r="D55" s="5" t="s">
        <v>40</v>
      </c>
      <c r="E55" s="5" t="s">
        <v>28</v>
      </c>
      <c r="F55" s="6" t="s">
        <v>177</v>
      </c>
      <c r="G55" s="7">
        <v>322560</v>
      </c>
      <c r="H55" s="8">
        <v>19355</v>
      </c>
      <c r="J55" s="4"/>
    </row>
    <row r="56" spans="1:10" x14ac:dyDescent="0.35">
      <c r="A56" t="s">
        <v>178</v>
      </c>
      <c r="B56" t="s">
        <v>113</v>
      </c>
      <c r="C56" t="s">
        <v>14</v>
      </c>
      <c r="D56" t="s">
        <v>94</v>
      </c>
      <c r="E56" t="s">
        <v>179</v>
      </c>
      <c r="F56" s="2" t="s">
        <v>180</v>
      </c>
      <c r="G56" s="3">
        <v>248080</v>
      </c>
      <c r="H56" s="4">
        <v>14885</v>
      </c>
      <c r="J56" s="4"/>
    </row>
    <row r="57" spans="1:10" x14ac:dyDescent="0.35">
      <c r="A57" t="s">
        <v>181</v>
      </c>
      <c r="B57" t="s">
        <v>182</v>
      </c>
      <c r="C57" t="s">
        <v>14</v>
      </c>
      <c r="D57" t="s">
        <v>29</v>
      </c>
      <c r="E57" t="s">
        <v>183</v>
      </c>
      <c r="F57" s="2" t="s">
        <v>29</v>
      </c>
      <c r="G57" s="3">
        <v>200000</v>
      </c>
      <c r="H57" s="4">
        <v>12000</v>
      </c>
      <c r="J57" s="4"/>
    </row>
    <row r="58" spans="1:10" x14ac:dyDescent="0.35">
      <c r="A58" t="s">
        <v>184</v>
      </c>
      <c r="B58" t="s">
        <v>185</v>
      </c>
      <c r="C58" t="s">
        <v>14</v>
      </c>
      <c r="D58" t="s">
        <v>29</v>
      </c>
      <c r="E58" t="s">
        <v>70</v>
      </c>
      <c r="F58" s="2" t="s">
        <v>29</v>
      </c>
      <c r="G58" s="3">
        <v>95120</v>
      </c>
      <c r="H58" s="4">
        <v>5705</v>
      </c>
      <c r="J58" s="4"/>
    </row>
    <row r="59" spans="1:10" x14ac:dyDescent="0.35">
      <c r="A59" s="5" t="s">
        <v>186</v>
      </c>
      <c r="B59" s="5" t="s">
        <v>187</v>
      </c>
      <c r="C59" s="5" t="s">
        <v>14</v>
      </c>
      <c r="D59" s="5" t="s">
        <v>27</v>
      </c>
      <c r="E59" s="5" t="s">
        <v>188</v>
      </c>
      <c r="F59" s="6" t="s">
        <v>189</v>
      </c>
      <c r="G59" s="7">
        <v>161840</v>
      </c>
      <c r="H59" s="8">
        <v>9710</v>
      </c>
      <c r="J59" s="4"/>
    </row>
    <row r="60" spans="1:10" x14ac:dyDescent="0.35">
      <c r="A60" s="9" t="s">
        <v>190</v>
      </c>
      <c r="B60" s="9" t="s">
        <v>191</v>
      </c>
      <c r="C60" s="9" t="s">
        <v>14</v>
      </c>
      <c r="D60" s="9" t="s">
        <v>29</v>
      </c>
      <c r="E60" s="9" t="s">
        <v>22</v>
      </c>
      <c r="F60" s="10" t="s">
        <v>29</v>
      </c>
      <c r="G60" s="11">
        <v>144240</v>
      </c>
      <c r="H60" s="12">
        <v>8655</v>
      </c>
      <c r="J60" s="4"/>
    </row>
    <row r="61" spans="1:10" x14ac:dyDescent="0.35">
      <c r="A61" t="s">
        <v>192</v>
      </c>
      <c r="B61" t="s">
        <v>193</v>
      </c>
      <c r="C61" t="s">
        <v>14</v>
      </c>
      <c r="D61" t="s">
        <v>29</v>
      </c>
      <c r="E61" t="s">
        <v>188</v>
      </c>
      <c r="F61" s="2" t="s">
        <v>29</v>
      </c>
      <c r="G61" s="3">
        <v>216320</v>
      </c>
      <c r="H61" s="4">
        <v>12980</v>
      </c>
      <c r="J61" s="4"/>
    </row>
    <row r="62" spans="1:10" x14ac:dyDescent="0.35">
      <c r="A62" s="5" t="s">
        <v>194</v>
      </c>
      <c r="B62" s="5" t="s">
        <v>195</v>
      </c>
      <c r="C62" s="5" t="s">
        <v>14</v>
      </c>
      <c r="D62" s="5" t="s">
        <v>29</v>
      </c>
      <c r="E62" s="5" t="s">
        <v>167</v>
      </c>
      <c r="F62" s="6" t="s">
        <v>29</v>
      </c>
      <c r="G62" s="7">
        <v>285840</v>
      </c>
      <c r="H62" s="8">
        <v>17150</v>
      </c>
      <c r="J62" s="4"/>
    </row>
    <row r="63" spans="1:10" x14ac:dyDescent="0.35">
      <c r="A63" t="s">
        <v>196</v>
      </c>
      <c r="B63" t="s">
        <v>197</v>
      </c>
      <c r="C63" t="s">
        <v>14</v>
      </c>
      <c r="D63" t="s">
        <v>198</v>
      </c>
      <c r="E63" t="s">
        <v>77</v>
      </c>
      <c r="F63" s="2" t="s">
        <v>29</v>
      </c>
      <c r="G63" s="3">
        <v>109040</v>
      </c>
      <c r="H63" s="4">
        <v>6540</v>
      </c>
      <c r="J63" s="4"/>
    </row>
    <row r="64" spans="1:10" x14ac:dyDescent="0.35">
      <c r="A64" t="s">
        <v>199</v>
      </c>
      <c r="B64" t="s">
        <v>200</v>
      </c>
      <c r="C64" t="s">
        <v>14</v>
      </c>
      <c r="D64" t="s">
        <v>57</v>
      </c>
      <c r="E64" t="s">
        <v>16</v>
      </c>
      <c r="F64" s="2" t="s">
        <v>201</v>
      </c>
      <c r="G64" s="3">
        <v>0</v>
      </c>
      <c r="H64" s="4">
        <f>G64*60/1000</f>
        <v>0</v>
      </c>
      <c r="J64" s="4"/>
    </row>
    <row r="65" spans="1:10" x14ac:dyDescent="0.35">
      <c r="A65" t="s">
        <v>202</v>
      </c>
      <c r="B65" t="s">
        <v>203</v>
      </c>
      <c r="C65" t="s">
        <v>14</v>
      </c>
      <c r="D65" t="s">
        <v>204</v>
      </c>
      <c r="E65" t="s">
        <v>179</v>
      </c>
      <c r="F65" s="2" t="s">
        <v>205</v>
      </c>
      <c r="G65" s="3">
        <v>180000</v>
      </c>
      <c r="H65" s="4">
        <v>10800</v>
      </c>
      <c r="J65" s="4"/>
    </row>
    <row r="66" spans="1:10" x14ac:dyDescent="0.35">
      <c r="A66" s="5" t="s">
        <v>206</v>
      </c>
      <c r="B66" s="5" t="s">
        <v>207</v>
      </c>
      <c r="C66" s="5" t="s">
        <v>14</v>
      </c>
      <c r="D66" s="5" t="s">
        <v>57</v>
      </c>
      <c r="E66" s="5" t="s">
        <v>16</v>
      </c>
      <c r="F66" s="6" t="s">
        <v>107</v>
      </c>
      <c r="G66" s="7">
        <v>57520</v>
      </c>
      <c r="H66" s="8">
        <v>3450</v>
      </c>
      <c r="J66" s="4"/>
    </row>
    <row r="67" spans="1:10" x14ac:dyDescent="0.35">
      <c r="A67" s="5" t="s">
        <v>208</v>
      </c>
      <c r="B67" s="5" t="s">
        <v>209</v>
      </c>
      <c r="C67" s="5" t="s">
        <v>14</v>
      </c>
      <c r="D67" s="5" t="s">
        <v>57</v>
      </c>
      <c r="E67" s="5" t="s">
        <v>28</v>
      </c>
      <c r="F67" s="6" t="s">
        <v>210</v>
      </c>
      <c r="G67" s="7">
        <v>158000</v>
      </c>
      <c r="H67" s="8">
        <v>9480</v>
      </c>
      <c r="J67" s="4"/>
    </row>
    <row r="68" spans="1:10" x14ac:dyDescent="0.35">
      <c r="A68" t="s">
        <v>211</v>
      </c>
      <c r="B68" t="s">
        <v>212</v>
      </c>
      <c r="C68" t="s">
        <v>14</v>
      </c>
      <c r="D68" t="s">
        <v>57</v>
      </c>
      <c r="E68" t="s">
        <v>183</v>
      </c>
      <c r="F68" s="2" t="s">
        <v>213</v>
      </c>
      <c r="G68" s="3">
        <v>198100</v>
      </c>
      <c r="H68" s="4">
        <v>11885</v>
      </c>
      <c r="J68" s="4"/>
    </row>
    <row r="69" spans="1:10" x14ac:dyDescent="0.35">
      <c r="A69" t="s">
        <v>214</v>
      </c>
      <c r="B69" t="s">
        <v>215</v>
      </c>
      <c r="C69" t="s">
        <v>14</v>
      </c>
      <c r="D69" t="s">
        <v>204</v>
      </c>
      <c r="E69" t="s">
        <v>188</v>
      </c>
      <c r="F69" s="2" t="s">
        <v>216</v>
      </c>
      <c r="G69" s="3">
        <v>155600</v>
      </c>
      <c r="H69" s="4">
        <v>9335</v>
      </c>
    </row>
    <row r="70" spans="1:10" x14ac:dyDescent="0.35">
      <c r="A70" s="5" t="s">
        <v>217</v>
      </c>
      <c r="B70" s="5" t="s">
        <v>218</v>
      </c>
      <c r="C70" s="5" t="s">
        <v>14</v>
      </c>
      <c r="D70" s="5" t="s">
        <v>57</v>
      </c>
      <c r="E70" s="5" t="s">
        <v>22</v>
      </c>
      <c r="F70" s="6">
        <v>0.57986111111111116</v>
      </c>
      <c r="G70" s="7">
        <v>137600</v>
      </c>
      <c r="H70" s="8">
        <v>8255</v>
      </c>
    </row>
    <row r="71" spans="1:10" x14ac:dyDescent="0.35">
      <c r="A71" t="s">
        <v>219</v>
      </c>
      <c r="B71" t="s">
        <v>220</v>
      </c>
      <c r="C71" t="s">
        <v>14</v>
      </c>
      <c r="D71" t="s">
        <v>29</v>
      </c>
      <c r="E71" t="s">
        <v>167</v>
      </c>
      <c r="F71" s="2" t="s">
        <v>29</v>
      </c>
      <c r="G71" s="3">
        <v>165040</v>
      </c>
      <c r="H71" s="4">
        <v>9900</v>
      </c>
    </row>
    <row r="72" spans="1:10" x14ac:dyDescent="0.35">
      <c r="A72" s="9" t="s">
        <v>221</v>
      </c>
      <c r="B72" s="9" t="s">
        <v>222</v>
      </c>
      <c r="C72" s="9" t="s">
        <v>14</v>
      </c>
      <c r="D72" s="9" t="s">
        <v>81</v>
      </c>
      <c r="E72" s="9"/>
      <c r="F72" s="10"/>
      <c r="G72" s="11">
        <v>95760</v>
      </c>
      <c r="H72" s="12">
        <v>5745</v>
      </c>
    </row>
    <row r="73" spans="1:10" x14ac:dyDescent="0.35">
      <c r="A73" t="s">
        <v>223</v>
      </c>
      <c r="B73" t="s">
        <v>224</v>
      </c>
      <c r="C73" t="s">
        <v>14</v>
      </c>
      <c r="D73" t="s">
        <v>198</v>
      </c>
      <c r="E73" t="s">
        <v>77</v>
      </c>
      <c r="F73" s="2" t="s">
        <v>29</v>
      </c>
      <c r="G73" s="3">
        <v>120560</v>
      </c>
      <c r="H73" s="4">
        <v>7235</v>
      </c>
    </row>
    <row r="74" spans="1:10" x14ac:dyDescent="0.35">
      <c r="A74" t="s">
        <v>225</v>
      </c>
      <c r="B74" t="s">
        <v>226</v>
      </c>
      <c r="C74" t="s">
        <v>14</v>
      </c>
      <c r="D74" t="s">
        <v>139</v>
      </c>
      <c r="E74" t="s">
        <v>28</v>
      </c>
      <c r="F74" s="2" t="s">
        <v>227</v>
      </c>
      <c r="G74" s="3">
        <v>225840</v>
      </c>
      <c r="H74" s="4">
        <v>13550</v>
      </c>
    </row>
    <row r="75" spans="1:10" x14ac:dyDescent="0.35">
      <c r="A75" t="s">
        <v>228</v>
      </c>
      <c r="B75" t="s">
        <v>229</v>
      </c>
      <c r="C75" t="s">
        <v>14</v>
      </c>
      <c r="F75" s="2"/>
      <c r="G75" s="3">
        <v>157280</v>
      </c>
      <c r="H75" s="4">
        <f>G75*60/1000</f>
        <v>9436.7999999999993</v>
      </c>
    </row>
    <row r="76" spans="1:10" x14ac:dyDescent="0.35">
      <c r="A76" t="s">
        <v>230</v>
      </c>
      <c r="B76" t="s">
        <v>231</v>
      </c>
      <c r="C76" t="s">
        <v>14</v>
      </c>
      <c r="F76" s="2"/>
      <c r="G76" s="3">
        <v>215000</v>
      </c>
      <c r="H76" s="4">
        <f>G76*60/1000</f>
        <v>12900</v>
      </c>
    </row>
    <row r="77" spans="1:10" x14ac:dyDescent="0.35">
      <c r="A77" t="s">
        <v>232</v>
      </c>
      <c r="B77" t="s">
        <v>233</v>
      </c>
      <c r="C77" t="s">
        <v>14</v>
      </c>
      <c r="F77" s="2"/>
      <c r="G77" s="3">
        <v>57520</v>
      </c>
      <c r="H77" s="4">
        <v>3450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8335-83A9-4544-8E6C-F12E04090AFF}">
  <dimension ref="A1:N157"/>
  <sheetViews>
    <sheetView workbookViewId="0">
      <selection activeCell="B27" sqref="B27"/>
    </sheetView>
  </sheetViews>
  <sheetFormatPr defaultRowHeight="14.5" x14ac:dyDescent="0.35"/>
  <cols>
    <col min="2" max="2" width="36.26953125" bestFit="1" customWidth="1"/>
    <col min="3" max="3" width="16.26953125" bestFit="1" customWidth="1"/>
    <col min="8" max="8" width="22.453125" bestFit="1" customWidth="1"/>
    <col min="11" max="11" width="19.54296875" bestFit="1" customWidth="1"/>
    <col min="14" max="14" width="13.26953125" bestFit="1" customWidth="1"/>
  </cols>
  <sheetData>
    <row r="1" spans="1:12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s="1" t="s">
        <v>0</v>
      </c>
      <c r="K1" s="1" t="s">
        <v>1</v>
      </c>
      <c r="L1" t="s">
        <v>2</v>
      </c>
    </row>
    <row r="2" spans="1:12" x14ac:dyDescent="0.35">
      <c r="A2" t="s">
        <v>12</v>
      </c>
      <c r="B2" t="s">
        <v>13</v>
      </c>
      <c r="C2" t="s">
        <v>234</v>
      </c>
      <c r="D2" t="s">
        <v>15</v>
      </c>
      <c r="E2" t="s">
        <v>16</v>
      </c>
      <c r="F2" s="2" t="s">
        <v>17</v>
      </c>
      <c r="G2" s="3">
        <v>48960</v>
      </c>
      <c r="H2" s="4">
        <v>2937.6</v>
      </c>
      <c r="J2" s="1" t="s">
        <v>11</v>
      </c>
      <c r="K2" s="1">
        <v>24</v>
      </c>
      <c r="L2">
        <v>0.4</v>
      </c>
    </row>
    <row r="3" spans="1:12" x14ac:dyDescent="0.35">
      <c r="A3" s="5" t="s">
        <v>19</v>
      </c>
      <c r="B3" s="5" t="s">
        <v>20</v>
      </c>
      <c r="C3" s="5" t="s">
        <v>234</v>
      </c>
      <c r="D3" s="5" t="s">
        <v>21</v>
      </c>
      <c r="E3" s="5" t="s">
        <v>22</v>
      </c>
      <c r="F3" s="6" t="s">
        <v>23</v>
      </c>
      <c r="G3" s="7">
        <v>23920</v>
      </c>
      <c r="H3" s="4">
        <v>1435.2</v>
      </c>
      <c r="J3" s="1" t="s">
        <v>18</v>
      </c>
      <c r="K3" s="1">
        <v>27</v>
      </c>
      <c r="L3">
        <v>0.45</v>
      </c>
    </row>
    <row r="4" spans="1:12" x14ac:dyDescent="0.35">
      <c r="A4" t="s">
        <v>25</v>
      </c>
      <c r="B4" t="s">
        <v>26</v>
      </c>
      <c r="C4" t="s">
        <v>234</v>
      </c>
      <c r="D4" t="s">
        <v>27</v>
      </c>
      <c r="E4" t="s">
        <v>28</v>
      </c>
      <c r="F4" s="2" t="s">
        <v>29</v>
      </c>
      <c r="G4" s="3">
        <v>12240</v>
      </c>
      <c r="H4" s="4">
        <v>734.4</v>
      </c>
      <c r="J4" s="1">
        <v>15</v>
      </c>
      <c r="K4" s="1">
        <v>45</v>
      </c>
      <c r="L4">
        <v>0.75</v>
      </c>
    </row>
    <row r="5" spans="1:12" x14ac:dyDescent="0.35">
      <c r="A5" t="s">
        <v>31</v>
      </c>
      <c r="B5" t="s">
        <v>32</v>
      </c>
      <c r="C5" t="s">
        <v>234</v>
      </c>
      <c r="D5" t="s">
        <v>33</v>
      </c>
      <c r="F5" s="2"/>
      <c r="G5" s="3">
        <v>0</v>
      </c>
      <c r="H5" s="4">
        <v>0</v>
      </c>
      <c r="J5" s="1" t="s">
        <v>30</v>
      </c>
      <c r="K5" s="1">
        <v>60</v>
      </c>
      <c r="L5">
        <v>1</v>
      </c>
    </row>
    <row r="6" spans="1:12" x14ac:dyDescent="0.35">
      <c r="A6" t="s">
        <v>35</v>
      </c>
      <c r="B6" t="s">
        <v>36</v>
      </c>
      <c r="C6" t="s">
        <v>234</v>
      </c>
      <c r="D6" t="s">
        <v>33</v>
      </c>
      <c r="F6" s="2"/>
      <c r="G6" s="3">
        <v>0</v>
      </c>
      <c r="H6" s="4">
        <v>0</v>
      </c>
      <c r="J6" s="1" t="s">
        <v>34</v>
      </c>
      <c r="K6" s="1">
        <v>90</v>
      </c>
      <c r="L6">
        <v>1.5</v>
      </c>
    </row>
    <row r="7" spans="1:12" x14ac:dyDescent="0.35">
      <c r="A7" t="s">
        <v>38</v>
      </c>
      <c r="B7" t="s">
        <v>39</v>
      </c>
      <c r="C7" t="s">
        <v>234</v>
      </c>
      <c r="D7" t="s">
        <v>40</v>
      </c>
      <c r="E7" t="s">
        <v>16</v>
      </c>
      <c r="F7" s="2" t="s">
        <v>41</v>
      </c>
      <c r="G7" s="3">
        <v>27360</v>
      </c>
      <c r="H7" s="4">
        <v>1641.6</v>
      </c>
      <c r="J7" s="1" t="s">
        <v>37</v>
      </c>
      <c r="K7" s="1">
        <v>120</v>
      </c>
      <c r="L7">
        <v>2</v>
      </c>
    </row>
    <row r="8" spans="1:12" x14ac:dyDescent="0.35">
      <c r="A8" s="5" t="s">
        <v>42</v>
      </c>
      <c r="B8" s="5" t="s">
        <v>43</v>
      </c>
      <c r="C8" s="5" t="s">
        <v>234</v>
      </c>
      <c r="D8" s="5" t="s">
        <v>40</v>
      </c>
      <c r="E8" s="5" t="s">
        <v>28</v>
      </c>
      <c r="F8" s="6" t="s">
        <v>44</v>
      </c>
      <c r="G8" s="7">
        <v>58320</v>
      </c>
      <c r="H8" s="4">
        <v>3499.2</v>
      </c>
    </row>
    <row r="9" spans="1:12" x14ac:dyDescent="0.35">
      <c r="A9" t="s">
        <v>45</v>
      </c>
      <c r="B9" t="s">
        <v>46</v>
      </c>
      <c r="C9" t="s">
        <v>234</v>
      </c>
      <c r="D9" t="s">
        <v>27</v>
      </c>
      <c r="E9" t="s">
        <v>22</v>
      </c>
      <c r="F9" s="2" t="s">
        <v>47</v>
      </c>
      <c r="G9" s="3">
        <v>39440</v>
      </c>
      <c r="H9" s="4">
        <v>2366.4</v>
      </c>
    </row>
    <row r="10" spans="1:12" x14ac:dyDescent="0.35">
      <c r="A10" s="5" t="s">
        <v>48</v>
      </c>
      <c r="B10" s="5" t="s">
        <v>49</v>
      </c>
      <c r="C10" s="5" t="s">
        <v>234</v>
      </c>
      <c r="D10" s="5" t="s">
        <v>15</v>
      </c>
      <c r="E10" s="5" t="s">
        <v>16</v>
      </c>
      <c r="F10" s="6" t="s">
        <v>50</v>
      </c>
      <c r="G10" s="7">
        <v>55920</v>
      </c>
      <c r="H10" s="4">
        <v>3355.2</v>
      </c>
    </row>
    <row r="11" spans="1:12" x14ac:dyDescent="0.35">
      <c r="A11" s="5" t="s">
        <v>51</v>
      </c>
      <c r="B11" s="5" t="s">
        <v>52</v>
      </c>
      <c r="C11" s="5" t="s">
        <v>234</v>
      </c>
      <c r="D11" s="5" t="s">
        <v>53</v>
      </c>
      <c r="E11" s="5" t="s">
        <v>16</v>
      </c>
      <c r="F11" s="6" t="s">
        <v>54</v>
      </c>
      <c r="G11" s="7">
        <v>56160</v>
      </c>
      <c r="H11" s="4">
        <v>3369.6</v>
      </c>
    </row>
    <row r="12" spans="1:12" x14ac:dyDescent="0.35">
      <c r="A12" s="5" t="s">
        <v>55</v>
      </c>
      <c r="B12" s="5" t="s">
        <v>56</v>
      </c>
      <c r="C12" s="5" t="s">
        <v>234</v>
      </c>
      <c r="D12" s="5" t="s">
        <v>57</v>
      </c>
      <c r="E12" s="5" t="s">
        <v>22</v>
      </c>
      <c r="F12" s="6" t="s">
        <v>29</v>
      </c>
      <c r="G12" s="7">
        <v>50720</v>
      </c>
      <c r="H12" s="4">
        <v>3043.2</v>
      </c>
    </row>
    <row r="13" spans="1:12" x14ac:dyDescent="0.35">
      <c r="A13" s="9" t="s">
        <v>235</v>
      </c>
      <c r="B13" s="9" t="s">
        <v>236</v>
      </c>
      <c r="C13" s="9" t="s">
        <v>234</v>
      </c>
      <c r="D13" s="9" t="s">
        <v>60</v>
      </c>
      <c r="E13" s="9"/>
      <c r="F13" s="10"/>
      <c r="G13" s="11">
        <v>69450</v>
      </c>
      <c r="H13" s="4">
        <v>4167</v>
      </c>
    </row>
    <row r="14" spans="1:12" x14ac:dyDescent="0.35">
      <c r="A14" t="s">
        <v>61</v>
      </c>
      <c r="B14" t="s">
        <v>62</v>
      </c>
      <c r="C14" t="s">
        <v>234</v>
      </c>
      <c r="D14" t="s">
        <v>33</v>
      </c>
      <c r="E14" t="s">
        <v>63</v>
      </c>
      <c r="F14" s="2" t="s">
        <v>64</v>
      </c>
      <c r="G14" s="3">
        <v>50720</v>
      </c>
      <c r="H14" s="4">
        <v>3043.2</v>
      </c>
    </row>
    <row r="15" spans="1:12" x14ac:dyDescent="0.35">
      <c r="A15" t="s">
        <v>65</v>
      </c>
      <c r="B15" t="s">
        <v>66</v>
      </c>
      <c r="C15" t="s">
        <v>234</v>
      </c>
      <c r="D15" t="s">
        <v>57</v>
      </c>
      <c r="E15" t="s">
        <v>22</v>
      </c>
      <c r="F15" s="2" t="s">
        <v>67</v>
      </c>
      <c r="G15" s="3">
        <v>14480</v>
      </c>
      <c r="H15" s="4">
        <v>868.8</v>
      </c>
    </row>
    <row r="16" spans="1:12" x14ac:dyDescent="0.35">
      <c r="A16" t="s">
        <v>68</v>
      </c>
      <c r="B16" t="s">
        <v>69</v>
      </c>
      <c r="C16" t="s">
        <v>234</v>
      </c>
      <c r="D16" t="s">
        <v>57</v>
      </c>
      <c r="E16" t="s">
        <v>70</v>
      </c>
      <c r="F16" s="2" t="s">
        <v>29</v>
      </c>
      <c r="G16" s="3">
        <v>48960</v>
      </c>
      <c r="H16" s="4">
        <v>2937.6</v>
      </c>
    </row>
    <row r="17" spans="1:8" x14ac:dyDescent="0.35">
      <c r="A17" t="s">
        <v>71</v>
      </c>
      <c r="B17" t="s">
        <v>72</v>
      </c>
      <c r="C17" t="s">
        <v>234</v>
      </c>
      <c r="D17" t="s">
        <v>73</v>
      </c>
      <c r="E17" t="s">
        <v>28</v>
      </c>
      <c r="F17" s="2" t="s">
        <v>74</v>
      </c>
      <c r="G17" s="3">
        <v>0</v>
      </c>
      <c r="H17" s="4">
        <v>0</v>
      </c>
    </row>
    <row r="18" spans="1:8" x14ac:dyDescent="0.35">
      <c r="A18" t="s">
        <v>75</v>
      </c>
      <c r="B18" t="s">
        <v>76</v>
      </c>
      <c r="C18" t="s">
        <v>234</v>
      </c>
      <c r="D18" t="s">
        <v>57</v>
      </c>
      <c r="E18" t="s">
        <v>77</v>
      </c>
      <c r="F18" s="2" t="s">
        <v>78</v>
      </c>
      <c r="G18" s="3">
        <v>12400</v>
      </c>
      <c r="H18" s="4">
        <v>744</v>
      </c>
    </row>
    <row r="19" spans="1:8" x14ac:dyDescent="0.35">
      <c r="A19" s="9" t="s">
        <v>79</v>
      </c>
      <c r="B19" s="9" t="s">
        <v>80</v>
      </c>
      <c r="C19" s="9" t="s">
        <v>234</v>
      </c>
      <c r="D19" s="9" t="s">
        <v>81</v>
      </c>
      <c r="E19" s="9"/>
      <c r="F19" s="10"/>
      <c r="G19" s="11">
        <v>14480</v>
      </c>
      <c r="H19" s="4">
        <v>868.8</v>
      </c>
    </row>
    <row r="20" spans="1:8" x14ac:dyDescent="0.35">
      <c r="A20" t="s">
        <v>82</v>
      </c>
      <c r="B20" t="s">
        <v>83</v>
      </c>
      <c r="C20" t="s">
        <v>234</v>
      </c>
      <c r="D20" t="s">
        <v>15</v>
      </c>
      <c r="E20" t="s">
        <v>22</v>
      </c>
      <c r="F20" s="2" t="s">
        <v>29</v>
      </c>
      <c r="G20" s="3">
        <v>36960</v>
      </c>
      <c r="H20" s="4">
        <v>2217.6</v>
      </c>
    </row>
    <row r="21" spans="1:8" x14ac:dyDescent="0.35">
      <c r="A21" t="s">
        <v>84</v>
      </c>
      <c r="B21" t="s">
        <v>85</v>
      </c>
      <c r="C21" t="s">
        <v>234</v>
      </c>
      <c r="D21" t="s">
        <v>57</v>
      </c>
      <c r="E21" t="s">
        <v>22</v>
      </c>
      <c r="F21" s="2" t="s">
        <v>86</v>
      </c>
      <c r="G21" s="3">
        <v>27680</v>
      </c>
      <c r="H21" s="4">
        <v>1660.8</v>
      </c>
    </row>
    <row r="22" spans="1:8" x14ac:dyDescent="0.35">
      <c r="A22" t="s">
        <v>87</v>
      </c>
      <c r="B22" t="s">
        <v>88</v>
      </c>
      <c r="C22" t="s">
        <v>234</v>
      </c>
      <c r="D22" t="s">
        <v>15</v>
      </c>
      <c r="E22" t="s">
        <v>22</v>
      </c>
      <c r="F22" s="2" t="s">
        <v>89</v>
      </c>
      <c r="G22" s="3">
        <v>96320</v>
      </c>
      <c r="H22" s="4">
        <v>5779.2</v>
      </c>
    </row>
    <row r="23" spans="1:8" x14ac:dyDescent="0.35">
      <c r="A23" s="9" t="s">
        <v>90</v>
      </c>
      <c r="B23" s="9" t="s">
        <v>91</v>
      </c>
      <c r="C23" s="9" t="s">
        <v>234</v>
      </c>
      <c r="D23" s="9" t="s">
        <v>33</v>
      </c>
      <c r="E23" s="9"/>
      <c r="F23" s="10"/>
      <c r="G23" s="11">
        <v>0</v>
      </c>
      <c r="H23" s="4">
        <v>0</v>
      </c>
    </row>
    <row r="24" spans="1:8" x14ac:dyDescent="0.35">
      <c r="A24" t="s">
        <v>92</v>
      </c>
      <c r="B24" t="s">
        <v>93</v>
      </c>
      <c r="C24" t="s">
        <v>234</v>
      </c>
      <c r="D24" t="s">
        <v>94</v>
      </c>
      <c r="E24" t="s">
        <v>16</v>
      </c>
      <c r="F24" s="2" t="s">
        <v>95</v>
      </c>
      <c r="G24" s="3">
        <v>20320</v>
      </c>
      <c r="H24" s="4">
        <v>1219.2</v>
      </c>
    </row>
    <row r="25" spans="1:8" x14ac:dyDescent="0.35">
      <c r="A25" s="5" t="s">
        <v>96</v>
      </c>
      <c r="B25" s="5" t="s">
        <v>97</v>
      </c>
      <c r="C25" s="5" t="s">
        <v>234</v>
      </c>
      <c r="D25" s="5" t="s">
        <v>53</v>
      </c>
      <c r="E25" s="5" t="s">
        <v>28</v>
      </c>
      <c r="F25" s="6" t="s">
        <v>98</v>
      </c>
      <c r="G25" s="7">
        <v>36960</v>
      </c>
      <c r="H25" s="4">
        <v>2217.6</v>
      </c>
    </row>
    <row r="26" spans="1:8" x14ac:dyDescent="0.35">
      <c r="A26" s="5" t="s">
        <v>99</v>
      </c>
      <c r="B26" s="5" t="s">
        <v>100</v>
      </c>
      <c r="C26" s="5" t="s">
        <v>234</v>
      </c>
      <c r="D26" s="5" t="s">
        <v>60</v>
      </c>
      <c r="E26" s="5" t="s">
        <v>22</v>
      </c>
      <c r="F26" s="6" t="s">
        <v>101</v>
      </c>
      <c r="G26" s="7">
        <v>50720</v>
      </c>
      <c r="H26" s="4">
        <v>3043.2</v>
      </c>
    </row>
    <row r="27" spans="1:8" x14ac:dyDescent="0.35">
      <c r="A27" s="5" t="s">
        <v>102</v>
      </c>
      <c r="B27" s="5" t="s">
        <v>103</v>
      </c>
      <c r="C27" s="5" t="s">
        <v>234</v>
      </c>
      <c r="D27" s="5" t="s">
        <v>94</v>
      </c>
      <c r="E27" s="5" t="s">
        <v>22</v>
      </c>
      <c r="F27" s="6" t="s">
        <v>104</v>
      </c>
      <c r="G27" s="7">
        <v>134240</v>
      </c>
      <c r="H27" s="4">
        <v>8054.4</v>
      </c>
    </row>
    <row r="28" spans="1:8" x14ac:dyDescent="0.35">
      <c r="A28" s="9" t="s">
        <v>105</v>
      </c>
      <c r="B28" s="9" t="s">
        <v>106</v>
      </c>
      <c r="C28" s="9" t="s">
        <v>234</v>
      </c>
      <c r="D28" s="9" t="s">
        <v>60</v>
      </c>
      <c r="E28" s="9" t="s">
        <v>16</v>
      </c>
      <c r="F28" s="10" t="s">
        <v>107</v>
      </c>
      <c r="G28" s="11">
        <v>0</v>
      </c>
      <c r="H28" s="4">
        <v>0</v>
      </c>
    </row>
    <row r="29" spans="1:8" x14ac:dyDescent="0.35">
      <c r="A29" s="13" t="s">
        <v>108</v>
      </c>
      <c r="B29" s="13" t="s">
        <v>109</v>
      </c>
      <c r="C29" s="13" t="s">
        <v>234</v>
      </c>
      <c r="D29" s="13" t="s">
        <v>60</v>
      </c>
      <c r="E29" s="13" t="s">
        <v>110</v>
      </c>
      <c r="F29" s="14" t="s">
        <v>111</v>
      </c>
      <c r="G29" s="15">
        <v>40400</v>
      </c>
      <c r="H29" s="4">
        <v>2424</v>
      </c>
    </row>
    <row r="30" spans="1:8" x14ac:dyDescent="0.35">
      <c r="A30" s="5" t="s">
        <v>112</v>
      </c>
      <c r="B30" s="5" t="s">
        <v>113</v>
      </c>
      <c r="C30" s="5" t="s">
        <v>234</v>
      </c>
      <c r="D30" s="5" t="s">
        <v>94</v>
      </c>
      <c r="E30" s="5" t="s">
        <v>22</v>
      </c>
      <c r="F30" s="6" t="s">
        <v>114</v>
      </c>
      <c r="G30" s="7">
        <v>6400</v>
      </c>
      <c r="H30" s="4">
        <v>384</v>
      </c>
    </row>
    <row r="31" spans="1:8" x14ac:dyDescent="0.35">
      <c r="A31" s="5" t="s">
        <v>115</v>
      </c>
      <c r="B31" s="5" t="s">
        <v>116</v>
      </c>
      <c r="C31" s="5" t="s">
        <v>234</v>
      </c>
      <c r="D31" s="5" t="s">
        <v>40</v>
      </c>
      <c r="E31" s="5" t="s">
        <v>22</v>
      </c>
      <c r="F31" s="6" t="s">
        <v>117</v>
      </c>
      <c r="G31" s="7">
        <v>42960</v>
      </c>
      <c r="H31" s="4">
        <v>2577.6</v>
      </c>
    </row>
    <row r="32" spans="1:8" x14ac:dyDescent="0.35">
      <c r="A32" t="s">
        <v>118</v>
      </c>
      <c r="B32" t="s">
        <v>119</v>
      </c>
      <c r="C32" t="s">
        <v>234</v>
      </c>
      <c r="D32" t="s">
        <v>94</v>
      </c>
      <c r="E32" t="s">
        <v>16</v>
      </c>
      <c r="F32" s="2" t="s">
        <v>44</v>
      </c>
      <c r="G32" s="3">
        <v>15120</v>
      </c>
      <c r="H32" s="4">
        <v>907.2</v>
      </c>
    </row>
    <row r="33" spans="1:8" x14ac:dyDescent="0.35">
      <c r="A33" t="s">
        <v>120</v>
      </c>
      <c r="B33" t="s">
        <v>121</v>
      </c>
      <c r="C33" t="s">
        <v>234</v>
      </c>
      <c r="D33" t="s">
        <v>40</v>
      </c>
      <c r="E33" t="s">
        <v>28</v>
      </c>
      <c r="F33" s="2">
        <v>0.16666666666666666</v>
      </c>
      <c r="G33" s="3">
        <v>23280</v>
      </c>
      <c r="H33" s="4">
        <v>1396.8</v>
      </c>
    </row>
    <row r="34" spans="1:8" x14ac:dyDescent="0.35">
      <c r="A34" t="s">
        <v>122</v>
      </c>
      <c r="B34" t="s">
        <v>123</v>
      </c>
      <c r="C34" t="s">
        <v>234</v>
      </c>
      <c r="D34" t="s">
        <v>40</v>
      </c>
      <c r="E34" t="s">
        <v>28</v>
      </c>
      <c r="F34" s="2" t="s">
        <v>124</v>
      </c>
      <c r="G34" s="3">
        <v>28880</v>
      </c>
      <c r="H34" s="4">
        <v>1732.8</v>
      </c>
    </row>
    <row r="35" spans="1:8" x14ac:dyDescent="0.35">
      <c r="A35" s="5" t="s">
        <v>125</v>
      </c>
      <c r="B35" s="5" t="s">
        <v>126</v>
      </c>
      <c r="C35" s="5" t="s">
        <v>234</v>
      </c>
      <c r="D35" s="5" t="s">
        <v>40</v>
      </c>
      <c r="E35" s="5" t="s">
        <v>28</v>
      </c>
      <c r="F35" s="6">
        <v>0.55902777777777779</v>
      </c>
      <c r="G35" s="7">
        <v>52320</v>
      </c>
      <c r="H35" s="4">
        <v>3139.2</v>
      </c>
    </row>
    <row r="36" spans="1:8" x14ac:dyDescent="0.35">
      <c r="A36" s="5" t="s">
        <v>127</v>
      </c>
      <c r="B36" s="5" t="s">
        <v>128</v>
      </c>
      <c r="C36" s="5" t="s">
        <v>234</v>
      </c>
      <c r="D36" s="5" t="s">
        <v>40</v>
      </c>
      <c r="E36" s="5" t="s">
        <v>28</v>
      </c>
      <c r="F36" s="6" t="s">
        <v>104</v>
      </c>
      <c r="G36" s="7">
        <v>86880</v>
      </c>
      <c r="H36" s="4">
        <v>5212.8</v>
      </c>
    </row>
    <row r="37" spans="1:8" x14ac:dyDescent="0.35">
      <c r="A37" s="5" t="s">
        <v>129</v>
      </c>
      <c r="B37" s="5" t="s">
        <v>130</v>
      </c>
      <c r="C37" s="5" t="s">
        <v>234</v>
      </c>
      <c r="D37" s="5" t="s">
        <v>40</v>
      </c>
      <c r="E37" s="5" t="s">
        <v>28</v>
      </c>
      <c r="F37" s="6" t="s">
        <v>104</v>
      </c>
      <c r="G37" s="7">
        <v>52320</v>
      </c>
      <c r="H37" s="4">
        <v>3139.2</v>
      </c>
    </row>
    <row r="38" spans="1:8" x14ac:dyDescent="0.35">
      <c r="A38" s="5" t="s">
        <v>131</v>
      </c>
      <c r="B38" s="5" t="s">
        <v>132</v>
      </c>
      <c r="C38" s="5" t="s">
        <v>234</v>
      </c>
      <c r="D38" s="5" t="s">
        <v>53</v>
      </c>
      <c r="E38" s="5" t="s">
        <v>28</v>
      </c>
      <c r="F38" s="6">
        <v>0.44097222222222221</v>
      </c>
      <c r="G38" s="7">
        <v>38000</v>
      </c>
      <c r="H38" s="4">
        <v>2280</v>
      </c>
    </row>
    <row r="39" spans="1:8" x14ac:dyDescent="0.35">
      <c r="A39" s="5" t="s">
        <v>133</v>
      </c>
      <c r="B39" s="5" t="s">
        <v>134</v>
      </c>
      <c r="C39" s="5" t="s">
        <v>234</v>
      </c>
      <c r="D39" s="5" t="s">
        <v>29</v>
      </c>
      <c r="E39" s="5" t="s">
        <v>28</v>
      </c>
      <c r="F39" s="6" t="s">
        <v>29</v>
      </c>
      <c r="G39" s="7">
        <v>52880</v>
      </c>
      <c r="H39" s="4">
        <v>3172.8</v>
      </c>
    </row>
    <row r="40" spans="1:8" x14ac:dyDescent="0.35">
      <c r="A40" t="s">
        <v>135</v>
      </c>
      <c r="B40" t="s">
        <v>136</v>
      </c>
      <c r="C40" t="s">
        <v>234</v>
      </c>
      <c r="D40" t="s">
        <v>29</v>
      </c>
      <c r="E40" t="s">
        <v>28</v>
      </c>
      <c r="F40" s="2" t="s">
        <v>29</v>
      </c>
      <c r="G40" s="3">
        <v>58640</v>
      </c>
      <c r="H40" s="4">
        <v>3518.4</v>
      </c>
    </row>
    <row r="41" spans="1:8" x14ac:dyDescent="0.35">
      <c r="A41" t="s">
        <v>137</v>
      </c>
      <c r="B41" t="s">
        <v>138</v>
      </c>
      <c r="C41" t="s">
        <v>234</v>
      </c>
      <c r="D41" t="s">
        <v>139</v>
      </c>
      <c r="E41" t="s">
        <v>110</v>
      </c>
      <c r="F41" s="2" t="s">
        <v>140</v>
      </c>
      <c r="G41" s="3">
        <v>42960</v>
      </c>
      <c r="H41" s="4">
        <v>2577.6</v>
      </c>
    </row>
    <row r="42" spans="1:8" x14ac:dyDescent="0.35">
      <c r="A42" s="5" t="s">
        <v>141</v>
      </c>
      <c r="B42" s="5" t="s">
        <v>142</v>
      </c>
      <c r="C42" s="5" t="s">
        <v>234</v>
      </c>
      <c r="D42" s="5" t="s">
        <v>139</v>
      </c>
      <c r="E42" s="5" t="s">
        <v>28</v>
      </c>
      <c r="F42" s="6" t="s">
        <v>143</v>
      </c>
      <c r="G42" s="7">
        <v>50240</v>
      </c>
      <c r="H42" s="4">
        <v>3014.4</v>
      </c>
    </row>
    <row r="43" spans="1:8" x14ac:dyDescent="0.35">
      <c r="A43" t="s">
        <v>144</v>
      </c>
      <c r="B43" t="s">
        <v>145</v>
      </c>
      <c r="C43" t="s">
        <v>234</v>
      </c>
      <c r="D43" t="s">
        <v>139</v>
      </c>
      <c r="E43" t="s">
        <v>16</v>
      </c>
      <c r="F43" s="2" t="s">
        <v>146</v>
      </c>
      <c r="G43" s="3">
        <v>50240</v>
      </c>
      <c r="H43" s="4">
        <v>3014.4</v>
      </c>
    </row>
    <row r="44" spans="1:8" x14ac:dyDescent="0.35">
      <c r="A44" s="5" t="s">
        <v>147</v>
      </c>
      <c r="B44" s="5" t="s">
        <v>148</v>
      </c>
      <c r="C44" s="5" t="s">
        <v>234</v>
      </c>
      <c r="D44" s="5" t="s">
        <v>139</v>
      </c>
      <c r="E44" s="5" t="s">
        <v>28</v>
      </c>
      <c r="F44" s="6" t="s">
        <v>149</v>
      </c>
      <c r="G44" s="7">
        <v>55360</v>
      </c>
      <c r="H44" s="4">
        <v>3321.6</v>
      </c>
    </row>
    <row r="45" spans="1:8" x14ac:dyDescent="0.35">
      <c r="A45" t="s">
        <v>150</v>
      </c>
      <c r="B45" t="s">
        <v>151</v>
      </c>
      <c r="C45" t="s">
        <v>234</v>
      </c>
      <c r="D45" t="s">
        <v>139</v>
      </c>
      <c r="E45" t="s">
        <v>16</v>
      </c>
      <c r="F45" s="2" t="s">
        <v>152</v>
      </c>
      <c r="G45" s="3">
        <v>55360</v>
      </c>
      <c r="H45" s="4">
        <v>3321.6</v>
      </c>
    </row>
    <row r="46" spans="1:8" x14ac:dyDescent="0.35">
      <c r="A46" s="9" t="s">
        <v>153</v>
      </c>
      <c r="B46" s="9" t="s">
        <v>154</v>
      </c>
      <c r="C46" s="9" t="s">
        <v>234</v>
      </c>
      <c r="D46" s="9" t="s">
        <v>139</v>
      </c>
      <c r="E46" s="9" t="s">
        <v>28</v>
      </c>
      <c r="F46" s="10" t="s">
        <v>155</v>
      </c>
      <c r="G46" s="11">
        <v>0</v>
      </c>
      <c r="H46" s="4">
        <v>0</v>
      </c>
    </row>
    <row r="47" spans="1:8" x14ac:dyDescent="0.35">
      <c r="A47" t="s">
        <v>156</v>
      </c>
      <c r="B47" t="s">
        <v>157</v>
      </c>
      <c r="C47" t="s">
        <v>234</v>
      </c>
      <c r="D47" t="s">
        <v>139</v>
      </c>
      <c r="E47" t="s">
        <v>28</v>
      </c>
      <c r="F47" s="2" t="s">
        <v>155</v>
      </c>
      <c r="G47" s="3">
        <v>82880</v>
      </c>
      <c r="H47" s="4">
        <v>4972.8</v>
      </c>
    </row>
    <row r="48" spans="1:8" x14ac:dyDescent="0.35">
      <c r="A48" t="s">
        <v>158</v>
      </c>
      <c r="B48" t="s">
        <v>159</v>
      </c>
      <c r="C48" t="s">
        <v>234</v>
      </c>
      <c r="D48" t="s">
        <v>139</v>
      </c>
      <c r="E48" t="s">
        <v>16</v>
      </c>
      <c r="F48" s="2" t="s">
        <v>155</v>
      </c>
      <c r="G48" s="3">
        <v>82880</v>
      </c>
      <c r="H48" s="4">
        <v>4972.8</v>
      </c>
    </row>
    <row r="49" spans="1:8" x14ac:dyDescent="0.35">
      <c r="A49" s="5" t="s">
        <v>160</v>
      </c>
      <c r="B49" s="5" t="s">
        <v>161</v>
      </c>
      <c r="C49" s="5" t="s">
        <v>234</v>
      </c>
      <c r="D49" s="5" t="s">
        <v>40</v>
      </c>
      <c r="E49" s="5" t="s">
        <v>28</v>
      </c>
      <c r="F49" s="6" t="s">
        <v>54</v>
      </c>
      <c r="G49" s="7">
        <v>41840</v>
      </c>
      <c r="H49" s="4">
        <v>2510.4</v>
      </c>
    </row>
    <row r="50" spans="1:8" x14ac:dyDescent="0.35">
      <c r="A50" t="s">
        <v>162</v>
      </c>
      <c r="B50" t="s">
        <v>163</v>
      </c>
      <c r="C50" t="s">
        <v>234</v>
      </c>
      <c r="D50" t="s">
        <v>139</v>
      </c>
      <c r="E50" t="s">
        <v>110</v>
      </c>
      <c r="F50" s="2" t="s">
        <v>164</v>
      </c>
      <c r="G50" s="3">
        <v>0</v>
      </c>
      <c r="H50" s="4">
        <v>0</v>
      </c>
    </row>
    <row r="51" spans="1:8" x14ac:dyDescent="0.35">
      <c r="A51" t="s">
        <v>165</v>
      </c>
      <c r="B51" t="s">
        <v>166</v>
      </c>
      <c r="C51" t="s">
        <v>234</v>
      </c>
      <c r="D51" t="s">
        <v>94</v>
      </c>
      <c r="E51" t="s">
        <v>167</v>
      </c>
      <c r="F51" s="2" t="s">
        <v>168</v>
      </c>
      <c r="G51" s="3">
        <v>55120</v>
      </c>
      <c r="H51" s="4">
        <v>3307.2</v>
      </c>
    </row>
    <row r="52" spans="1:8" x14ac:dyDescent="0.35">
      <c r="A52" t="s">
        <v>169</v>
      </c>
      <c r="B52" t="s">
        <v>170</v>
      </c>
      <c r="C52" t="s">
        <v>234</v>
      </c>
      <c r="D52" t="s">
        <v>40</v>
      </c>
      <c r="E52" t="s">
        <v>16</v>
      </c>
      <c r="F52" s="2" t="s">
        <v>171</v>
      </c>
      <c r="G52" s="3">
        <v>61840</v>
      </c>
      <c r="H52" s="4">
        <v>3710.4</v>
      </c>
    </row>
    <row r="53" spans="1:8" x14ac:dyDescent="0.35">
      <c r="A53" s="5" t="s">
        <v>172</v>
      </c>
      <c r="B53" s="5" t="s">
        <v>173</v>
      </c>
      <c r="C53" s="5" t="s">
        <v>234</v>
      </c>
      <c r="D53" s="5" t="s">
        <v>40</v>
      </c>
      <c r="E53" s="5" t="s">
        <v>110</v>
      </c>
      <c r="F53" s="6" t="s">
        <v>174</v>
      </c>
      <c r="G53" s="7">
        <v>53200</v>
      </c>
      <c r="H53" s="4">
        <v>3192</v>
      </c>
    </row>
    <row r="54" spans="1:8" x14ac:dyDescent="0.35">
      <c r="A54" s="5" t="s">
        <v>175</v>
      </c>
      <c r="B54" s="5" t="s">
        <v>176</v>
      </c>
      <c r="C54" s="5" t="s">
        <v>234</v>
      </c>
      <c r="D54" s="5" t="s">
        <v>40</v>
      </c>
      <c r="E54" s="5" t="s">
        <v>28</v>
      </c>
      <c r="F54" s="6" t="s">
        <v>177</v>
      </c>
      <c r="G54" s="7">
        <v>61840</v>
      </c>
      <c r="H54" s="4">
        <v>3710.4</v>
      </c>
    </row>
    <row r="55" spans="1:8" x14ac:dyDescent="0.35">
      <c r="A55" t="s">
        <v>178</v>
      </c>
      <c r="B55" t="s">
        <v>113</v>
      </c>
      <c r="C55" t="s">
        <v>234</v>
      </c>
      <c r="D55" t="s">
        <v>94</v>
      </c>
      <c r="E55" t="s">
        <v>179</v>
      </c>
      <c r="F55" s="2" t="s">
        <v>180</v>
      </c>
      <c r="G55" s="3">
        <v>52880</v>
      </c>
      <c r="H55" s="4">
        <v>3172.8</v>
      </c>
    </row>
    <row r="56" spans="1:8" x14ac:dyDescent="0.35">
      <c r="A56" t="s">
        <v>181</v>
      </c>
      <c r="B56" t="s">
        <v>182</v>
      </c>
      <c r="C56" t="s">
        <v>234</v>
      </c>
      <c r="D56" t="s">
        <v>29</v>
      </c>
      <c r="E56" t="s">
        <v>183</v>
      </c>
      <c r="F56" s="2" t="s">
        <v>29</v>
      </c>
      <c r="G56" s="3">
        <v>0</v>
      </c>
      <c r="H56" s="4">
        <v>0</v>
      </c>
    </row>
    <row r="57" spans="1:8" x14ac:dyDescent="0.35">
      <c r="A57" t="s">
        <v>184</v>
      </c>
      <c r="B57" t="s">
        <v>185</v>
      </c>
      <c r="C57" t="s">
        <v>234</v>
      </c>
      <c r="D57" t="s">
        <v>29</v>
      </c>
      <c r="E57" t="s">
        <v>70</v>
      </c>
      <c r="F57" s="2" t="s">
        <v>29</v>
      </c>
      <c r="G57" s="3">
        <v>22720</v>
      </c>
      <c r="H57" s="4">
        <v>1363.2</v>
      </c>
    </row>
    <row r="58" spans="1:8" x14ac:dyDescent="0.35">
      <c r="A58" s="5" t="s">
        <v>186</v>
      </c>
      <c r="B58" s="5" t="s">
        <v>187</v>
      </c>
      <c r="C58" s="5" t="s">
        <v>234</v>
      </c>
      <c r="D58" s="5" t="s">
        <v>27</v>
      </c>
      <c r="E58" s="5" t="s">
        <v>188</v>
      </c>
      <c r="F58" s="6" t="s">
        <v>189</v>
      </c>
      <c r="G58" s="7">
        <v>48640</v>
      </c>
      <c r="H58" s="4">
        <v>2918.4</v>
      </c>
    </row>
    <row r="59" spans="1:8" x14ac:dyDescent="0.35">
      <c r="A59" s="9" t="s">
        <v>190</v>
      </c>
      <c r="B59" s="9" t="s">
        <v>191</v>
      </c>
      <c r="C59" s="9" t="s">
        <v>234</v>
      </c>
      <c r="D59" s="9" t="s">
        <v>29</v>
      </c>
      <c r="E59" s="9" t="s">
        <v>22</v>
      </c>
      <c r="F59" s="10" t="s">
        <v>29</v>
      </c>
      <c r="G59" s="11">
        <v>35120</v>
      </c>
      <c r="H59" s="4">
        <v>2107.1999999999998</v>
      </c>
    </row>
    <row r="60" spans="1:8" x14ac:dyDescent="0.35">
      <c r="A60" t="s">
        <v>192</v>
      </c>
      <c r="B60" t="s">
        <v>193</v>
      </c>
      <c r="C60" t="s">
        <v>234</v>
      </c>
      <c r="D60" t="s">
        <v>29</v>
      </c>
      <c r="E60" t="s">
        <v>188</v>
      </c>
      <c r="F60" s="2" t="s">
        <v>29</v>
      </c>
      <c r="G60" s="3">
        <v>22720</v>
      </c>
      <c r="H60" s="4">
        <v>1363.2</v>
      </c>
    </row>
    <row r="61" spans="1:8" x14ac:dyDescent="0.35">
      <c r="A61" s="5" t="s">
        <v>194</v>
      </c>
      <c r="B61" s="5" t="s">
        <v>195</v>
      </c>
      <c r="C61" s="5" t="s">
        <v>234</v>
      </c>
      <c r="D61" s="5" t="s">
        <v>29</v>
      </c>
      <c r="E61" s="5" t="s">
        <v>167</v>
      </c>
      <c r="F61" s="6" t="s">
        <v>29</v>
      </c>
      <c r="G61" s="7">
        <v>23040</v>
      </c>
      <c r="H61" s="4">
        <v>1382.4</v>
      </c>
    </row>
    <row r="62" spans="1:8" x14ac:dyDescent="0.35">
      <c r="A62" t="s">
        <v>196</v>
      </c>
      <c r="B62" t="s">
        <v>197</v>
      </c>
      <c r="C62" t="s">
        <v>234</v>
      </c>
      <c r="D62" t="s">
        <v>198</v>
      </c>
      <c r="E62" t="s">
        <v>77</v>
      </c>
      <c r="F62" s="2" t="s">
        <v>29</v>
      </c>
      <c r="G62" s="3">
        <v>23040</v>
      </c>
      <c r="H62" s="4">
        <v>1382.4</v>
      </c>
    </row>
    <row r="63" spans="1:8" x14ac:dyDescent="0.35">
      <c r="A63" t="s">
        <v>199</v>
      </c>
      <c r="B63" t="s">
        <v>200</v>
      </c>
      <c r="C63" t="s">
        <v>234</v>
      </c>
      <c r="D63" t="s">
        <v>57</v>
      </c>
      <c r="E63" t="s">
        <v>16</v>
      </c>
      <c r="F63" s="2" t="s">
        <v>201</v>
      </c>
      <c r="G63" s="3">
        <v>0</v>
      </c>
      <c r="H63" s="4">
        <v>0</v>
      </c>
    </row>
    <row r="64" spans="1:8" x14ac:dyDescent="0.35">
      <c r="A64" t="s">
        <v>202</v>
      </c>
      <c r="B64" t="s">
        <v>203</v>
      </c>
      <c r="C64" t="s">
        <v>234</v>
      </c>
      <c r="D64" t="s">
        <v>204</v>
      </c>
      <c r="E64" t="s">
        <v>179</v>
      </c>
      <c r="F64" s="2" t="s">
        <v>205</v>
      </c>
      <c r="G64" s="3">
        <v>0</v>
      </c>
      <c r="H64" s="4">
        <v>0</v>
      </c>
    </row>
    <row r="65" spans="1:8" x14ac:dyDescent="0.35">
      <c r="A65" s="5" t="s">
        <v>206</v>
      </c>
      <c r="B65" s="5" t="s">
        <v>207</v>
      </c>
      <c r="C65" s="5" t="s">
        <v>234</v>
      </c>
      <c r="D65" s="5" t="s">
        <v>57</v>
      </c>
      <c r="E65" s="5" t="s">
        <v>16</v>
      </c>
      <c r="F65" s="6" t="s">
        <v>107</v>
      </c>
      <c r="G65" s="7">
        <v>28640</v>
      </c>
      <c r="H65" s="4">
        <v>1718.4</v>
      </c>
    </row>
    <row r="66" spans="1:8" x14ac:dyDescent="0.35">
      <c r="A66" s="5" t="s">
        <v>208</v>
      </c>
      <c r="B66" s="5" t="s">
        <v>209</v>
      </c>
      <c r="C66" s="5" t="s">
        <v>234</v>
      </c>
      <c r="D66" s="5" t="s">
        <v>57</v>
      </c>
      <c r="E66" s="5" t="s">
        <v>28</v>
      </c>
      <c r="F66" s="6" t="s">
        <v>210</v>
      </c>
      <c r="G66" s="7">
        <v>49040</v>
      </c>
      <c r="H66" s="4">
        <v>2942.4</v>
      </c>
    </row>
    <row r="67" spans="1:8" x14ac:dyDescent="0.35">
      <c r="A67" t="s">
        <v>211</v>
      </c>
      <c r="B67" t="s">
        <v>212</v>
      </c>
      <c r="C67" t="s">
        <v>234</v>
      </c>
      <c r="D67" t="s">
        <v>57</v>
      </c>
      <c r="E67" t="s">
        <v>183</v>
      </c>
      <c r="F67" s="2" t="s">
        <v>213</v>
      </c>
      <c r="G67" s="3">
        <v>50960</v>
      </c>
      <c r="H67" s="4">
        <v>3057.6</v>
      </c>
    </row>
    <row r="68" spans="1:8" x14ac:dyDescent="0.35">
      <c r="A68" t="s">
        <v>214</v>
      </c>
      <c r="B68" t="s">
        <v>215</v>
      </c>
      <c r="C68" t="s">
        <v>234</v>
      </c>
      <c r="D68" t="s">
        <v>204</v>
      </c>
      <c r="E68" t="s">
        <v>188</v>
      </c>
      <c r="F68" s="2" t="s">
        <v>216</v>
      </c>
      <c r="G68" s="3">
        <v>50320</v>
      </c>
      <c r="H68" s="4">
        <v>3019.2</v>
      </c>
    </row>
    <row r="69" spans="1:8" x14ac:dyDescent="0.35">
      <c r="A69" s="5" t="s">
        <v>217</v>
      </c>
      <c r="B69" s="5" t="s">
        <v>218</v>
      </c>
      <c r="C69" s="5" t="s">
        <v>234</v>
      </c>
      <c r="D69" s="5" t="s">
        <v>57</v>
      </c>
      <c r="E69" s="5" t="s">
        <v>22</v>
      </c>
      <c r="F69" s="6">
        <v>0.57986111111111116</v>
      </c>
      <c r="G69" s="7">
        <v>50320</v>
      </c>
      <c r="H69" s="4">
        <v>3019.2</v>
      </c>
    </row>
    <row r="70" spans="1:8" x14ac:dyDescent="0.35">
      <c r="A70" t="s">
        <v>219</v>
      </c>
      <c r="B70" t="s">
        <v>220</v>
      </c>
      <c r="C70" t="s">
        <v>234</v>
      </c>
      <c r="D70" t="s">
        <v>29</v>
      </c>
      <c r="E70" t="s">
        <v>167</v>
      </c>
      <c r="F70" s="2" t="s">
        <v>29</v>
      </c>
      <c r="G70" s="3">
        <v>23040</v>
      </c>
      <c r="H70" s="4">
        <v>1382.4</v>
      </c>
    </row>
    <row r="71" spans="1:8" x14ac:dyDescent="0.35">
      <c r="A71" s="9" t="s">
        <v>221</v>
      </c>
      <c r="B71" s="9" t="s">
        <v>222</v>
      </c>
      <c r="C71" s="9" t="s">
        <v>234</v>
      </c>
      <c r="D71" s="9" t="s">
        <v>81</v>
      </c>
      <c r="E71" s="9"/>
      <c r="F71" s="10"/>
      <c r="G71" s="11">
        <v>50320</v>
      </c>
      <c r="H71" s="4">
        <v>3019.2</v>
      </c>
    </row>
    <row r="72" spans="1:8" x14ac:dyDescent="0.35">
      <c r="A72" t="s">
        <v>223</v>
      </c>
      <c r="B72" t="s">
        <v>224</v>
      </c>
      <c r="C72" t="s">
        <v>234</v>
      </c>
      <c r="D72" t="s">
        <v>198</v>
      </c>
      <c r="E72" t="s">
        <v>77</v>
      </c>
      <c r="F72" s="2" t="s">
        <v>29</v>
      </c>
      <c r="G72" s="3">
        <v>50320</v>
      </c>
      <c r="H72" s="4">
        <v>3019.2</v>
      </c>
    </row>
    <row r="73" spans="1:8" x14ac:dyDescent="0.35">
      <c r="A73" t="s">
        <v>225</v>
      </c>
      <c r="B73" t="s">
        <v>226</v>
      </c>
      <c r="C73" t="s">
        <v>234</v>
      </c>
      <c r="D73" t="s">
        <v>139</v>
      </c>
      <c r="E73" t="s">
        <v>28</v>
      </c>
      <c r="F73" s="2" t="s">
        <v>227</v>
      </c>
      <c r="G73" s="3">
        <v>58000</v>
      </c>
      <c r="H73" s="4">
        <v>3480</v>
      </c>
    </row>
    <row r="74" spans="1:8" x14ac:dyDescent="0.35">
      <c r="A74" t="s">
        <v>12</v>
      </c>
      <c r="B74" t="s">
        <v>13</v>
      </c>
      <c r="C74" t="s">
        <v>237</v>
      </c>
      <c r="D74" t="s">
        <v>15</v>
      </c>
      <c r="E74" t="s">
        <v>16</v>
      </c>
      <c r="F74" s="2" t="s">
        <v>17</v>
      </c>
      <c r="G74" s="3">
        <v>43280</v>
      </c>
      <c r="H74" s="4">
        <v>2596.8000000000002</v>
      </c>
    </row>
    <row r="75" spans="1:8" x14ac:dyDescent="0.35">
      <c r="A75" s="5" t="s">
        <v>19</v>
      </c>
      <c r="B75" s="5" t="s">
        <v>20</v>
      </c>
      <c r="C75" s="5" t="s">
        <v>237</v>
      </c>
      <c r="D75" s="5" t="s">
        <v>21</v>
      </c>
      <c r="E75" s="5" t="s">
        <v>22</v>
      </c>
      <c r="F75" s="6" t="s">
        <v>23</v>
      </c>
      <c r="G75" s="7">
        <v>19440</v>
      </c>
      <c r="H75" s="4">
        <v>1166.4000000000001</v>
      </c>
    </row>
    <row r="76" spans="1:8" x14ac:dyDescent="0.35">
      <c r="A76" t="s">
        <v>25</v>
      </c>
      <c r="B76" t="s">
        <v>26</v>
      </c>
      <c r="C76" t="s">
        <v>237</v>
      </c>
      <c r="D76" t="s">
        <v>27</v>
      </c>
      <c r="E76" t="s">
        <v>28</v>
      </c>
      <c r="F76" s="2" t="s">
        <v>29</v>
      </c>
      <c r="G76" s="3">
        <v>10320</v>
      </c>
      <c r="H76" s="4">
        <v>619.20000000000005</v>
      </c>
    </row>
    <row r="77" spans="1:8" x14ac:dyDescent="0.35">
      <c r="A77" t="s">
        <v>31</v>
      </c>
      <c r="B77" t="s">
        <v>32</v>
      </c>
      <c r="C77" t="s">
        <v>237</v>
      </c>
      <c r="D77" t="s">
        <v>33</v>
      </c>
      <c r="F77" s="2"/>
      <c r="G77" s="3">
        <v>0</v>
      </c>
      <c r="H77" s="4">
        <v>0</v>
      </c>
    </row>
    <row r="78" spans="1:8" x14ac:dyDescent="0.35">
      <c r="A78" t="s">
        <v>35</v>
      </c>
      <c r="B78" t="s">
        <v>36</v>
      </c>
      <c r="C78" t="s">
        <v>237</v>
      </c>
      <c r="D78" t="s">
        <v>33</v>
      </c>
      <c r="F78" s="2"/>
      <c r="G78" s="3">
        <v>0</v>
      </c>
      <c r="H78" s="4">
        <v>0</v>
      </c>
    </row>
    <row r="79" spans="1:8" x14ac:dyDescent="0.35">
      <c r="A79" t="s">
        <v>38</v>
      </c>
      <c r="B79" t="s">
        <v>39</v>
      </c>
      <c r="C79" t="s">
        <v>237</v>
      </c>
      <c r="D79" t="s">
        <v>40</v>
      </c>
      <c r="E79" t="s">
        <v>16</v>
      </c>
      <c r="F79" s="2" t="s">
        <v>41</v>
      </c>
      <c r="G79" s="3">
        <v>23200</v>
      </c>
      <c r="H79" s="4">
        <v>1392</v>
      </c>
    </row>
    <row r="80" spans="1:8" x14ac:dyDescent="0.35">
      <c r="A80" s="5" t="s">
        <v>42</v>
      </c>
      <c r="B80" s="5" t="s">
        <v>43</v>
      </c>
      <c r="C80" s="5" t="s">
        <v>237</v>
      </c>
      <c r="D80" s="5" t="s">
        <v>40</v>
      </c>
      <c r="E80" s="5" t="s">
        <v>28</v>
      </c>
      <c r="F80" s="6" t="s">
        <v>44</v>
      </c>
      <c r="G80" s="7">
        <v>63760</v>
      </c>
      <c r="H80" s="4">
        <v>3825.6</v>
      </c>
    </row>
    <row r="81" spans="1:8" x14ac:dyDescent="0.35">
      <c r="A81" t="s">
        <v>45</v>
      </c>
      <c r="B81" t="s">
        <v>46</v>
      </c>
      <c r="C81" t="s">
        <v>237</v>
      </c>
      <c r="D81" t="s">
        <v>27</v>
      </c>
      <c r="E81" t="s">
        <v>22</v>
      </c>
      <c r="F81" s="2" t="s">
        <v>47</v>
      </c>
      <c r="G81" s="3">
        <v>30560</v>
      </c>
      <c r="H81" s="4">
        <v>1833.6</v>
      </c>
    </row>
    <row r="82" spans="1:8" x14ac:dyDescent="0.35">
      <c r="A82" s="5" t="s">
        <v>48</v>
      </c>
      <c r="B82" s="5" t="s">
        <v>49</v>
      </c>
      <c r="C82" s="5" t="s">
        <v>237</v>
      </c>
      <c r="D82" s="5" t="s">
        <v>15</v>
      </c>
      <c r="E82" s="5" t="s">
        <v>16</v>
      </c>
      <c r="F82" s="6" t="s">
        <v>50</v>
      </c>
      <c r="G82" s="7">
        <v>57120</v>
      </c>
      <c r="H82" s="4">
        <v>3427.2</v>
      </c>
    </row>
    <row r="83" spans="1:8" x14ac:dyDescent="0.35">
      <c r="A83" s="5" t="s">
        <v>51</v>
      </c>
      <c r="B83" s="5" t="s">
        <v>52</v>
      </c>
      <c r="C83" s="5" t="s">
        <v>237</v>
      </c>
      <c r="D83" s="5" t="s">
        <v>53</v>
      </c>
      <c r="E83" s="5" t="s">
        <v>16</v>
      </c>
      <c r="F83" s="6" t="s">
        <v>54</v>
      </c>
      <c r="G83" s="7">
        <v>54480</v>
      </c>
      <c r="H83" s="4">
        <v>3268.8</v>
      </c>
    </row>
    <row r="84" spans="1:8" x14ac:dyDescent="0.35">
      <c r="A84" s="5" t="s">
        <v>55</v>
      </c>
      <c r="B84" s="5" t="s">
        <v>56</v>
      </c>
      <c r="C84" s="5" t="s">
        <v>237</v>
      </c>
      <c r="D84" s="5" t="s">
        <v>57</v>
      </c>
      <c r="E84" s="5" t="s">
        <v>22</v>
      </c>
      <c r="F84" s="6" t="s">
        <v>29</v>
      </c>
      <c r="G84" s="7">
        <v>42160</v>
      </c>
      <c r="H84" s="4">
        <v>2529.6</v>
      </c>
    </row>
    <row r="85" spans="1:8" x14ac:dyDescent="0.35">
      <c r="A85" s="9" t="s">
        <v>58</v>
      </c>
      <c r="B85" s="9" t="s">
        <v>59</v>
      </c>
      <c r="C85" s="9" t="s">
        <v>237</v>
      </c>
      <c r="D85" s="9" t="s">
        <v>60</v>
      </c>
      <c r="E85" s="9"/>
      <c r="F85" s="10"/>
      <c r="G85" s="11">
        <v>0</v>
      </c>
      <c r="H85" s="4">
        <v>0</v>
      </c>
    </row>
    <row r="86" spans="1:8" x14ac:dyDescent="0.35">
      <c r="A86" t="s">
        <v>61</v>
      </c>
      <c r="B86" t="s">
        <v>62</v>
      </c>
      <c r="C86" t="s">
        <v>237</v>
      </c>
      <c r="D86" t="s">
        <v>33</v>
      </c>
      <c r="E86" t="s">
        <v>63</v>
      </c>
      <c r="F86" s="2" t="s">
        <v>64</v>
      </c>
      <c r="G86" s="3">
        <v>42160</v>
      </c>
      <c r="H86" s="4">
        <v>2529.6</v>
      </c>
    </row>
    <row r="87" spans="1:8" x14ac:dyDescent="0.35">
      <c r="A87" t="s">
        <v>65</v>
      </c>
      <c r="B87" t="s">
        <v>66</v>
      </c>
      <c r="C87" t="s">
        <v>237</v>
      </c>
      <c r="D87" t="s">
        <v>57</v>
      </c>
      <c r="E87" t="s">
        <v>22</v>
      </c>
      <c r="F87" s="2" t="s">
        <v>67</v>
      </c>
      <c r="G87" s="3">
        <v>12320</v>
      </c>
      <c r="H87" s="4">
        <v>739.2</v>
      </c>
    </row>
    <row r="88" spans="1:8" x14ac:dyDescent="0.35">
      <c r="A88" t="s">
        <v>68</v>
      </c>
      <c r="B88" t="s">
        <v>69</v>
      </c>
      <c r="C88" t="s">
        <v>237</v>
      </c>
      <c r="D88" t="s">
        <v>57</v>
      </c>
      <c r="E88" t="s">
        <v>70</v>
      </c>
      <c r="F88" s="2" t="s">
        <v>29</v>
      </c>
      <c r="G88" s="3">
        <v>42000</v>
      </c>
      <c r="H88" s="4">
        <v>2520</v>
      </c>
    </row>
    <row r="89" spans="1:8" x14ac:dyDescent="0.35">
      <c r="A89" t="s">
        <v>71</v>
      </c>
      <c r="B89" t="s">
        <v>72</v>
      </c>
      <c r="C89" t="s">
        <v>237</v>
      </c>
      <c r="D89" t="s">
        <v>73</v>
      </c>
      <c r="E89" t="s">
        <v>28</v>
      </c>
      <c r="F89" s="2" t="s">
        <v>74</v>
      </c>
      <c r="G89" s="3">
        <v>0</v>
      </c>
      <c r="H89" s="4">
        <v>0</v>
      </c>
    </row>
    <row r="90" spans="1:8" x14ac:dyDescent="0.35">
      <c r="A90" t="s">
        <v>75</v>
      </c>
      <c r="B90" t="s">
        <v>76</v>
      </c>
      <c r="C90" t="s">
        <v>237</v>
      </c>
      <c r="D90" t="s">
        <v>57</v>
      </c>
      <c r="E90" t="s">
        <v>77</v>
      </c>
      <c r="F90" s="2" t="s">
        <v>78</v>
      </c>
      <c r="G90" s="3">
        <v>10480</v>
      </c>
      <c r="H90" s="4">
        <v>628.79999999999995</v>
      </c>
    </row>
    <row r="91" spans="1:8" x14ac:dyDescent="0.35">
      <c r="A91" s="9" t="s">
        <v>79</v>
      </c>
      <c r="B91" s="9" t="s">
        <v>80</v>
      </c>
      <c r="C91" s="9" t="s">
        <v>237</v>
      </c>
      <c r="D91" s="9" t="s">
        <v>81</v>
      </c>
      <c r="E91" s="9"/>
      <c r="F91" s="10"/>
      <c r="G91" s="11">
        <v>12320</v>
      </c>
      <c r="H91" s="4">
        <v>739.2</v>
      </c>
    </row>
    <row r="92" spans="1:8" x14ac:dyDescent="0.35">
      <c r="A92" t="s">
        <v>82</v>
      </c>
      <c r="B92" t="s">
        <v>83</v>
      </c>
      <c r="C92" t="s">
        <v>237</v>
      </c>
      <c r="D92" t="s">
        <v>15</v>
      </c>
      <c r="E92" t="s">
        <v>22</v>
      </c>
      <c r="F92" s="2" t="s">
        <v>29</v>
      </c>
      <c r="G92" s="3">
        <v>37520</v>
      </c>
      <c r="H92" s="4">
        <v>2251.1999999999998</v>
      </c>
    </row>
    <row r="93" spans="1:8" x14ac:dyDescent="0.35">
      <c r="A93" t="s">
        <v>84</v>
      </c>
      <c r="B93" t="s">
        <v>85</v>
      </c>
      <c r="C93" t="s">
        <v>237</v>
      </c>
      <c r="D93" t="s">
        <v>57</v>
      </c>
      <c r="E93" t="s">
        <v>22</v>
      </c>
      <c r="F93" s="2" t="s">
        <v>86</v>
      </c>
      <c r="G93" s="3">
        <v>23520</v>
      </c>
      <c r="H93" s="4">
        <v>1411.2</v>
      </c>
    </row>
    <row r="94" spans="1:8" x14ac:dyDescent="0.35">
      <c r="A94" t="s">
        <v>87</v>
      </c>
      <c r="B94" t="s">
        <v>88</v>
      </c>
      <c r="C94" t="s">
        <v>237</v>
      </c>
      <c r="D94" t="s">
        <v>15</v>
      </c>
      <c r="E94" t="s">
        <v>22</v>
      </c>
      <c r="F94" s="2" t="s">
        <v>89</v>
      </c>
      <c r="G94" s="3">
        <v>81600</v>
      </c>
      <c r="H94" s="4">
        <v>4896</v>
      </c>
    </row>
    <row r="95" spans="1:8" x14ac:dyDescent="0.35">
      <c r="A95" s="9" t="s">
        <v>90</v>
      </c>
      <c r="B95" s="9" t="s">
        <v>91</v>
      </c>
      <c r="C95" s="9" t="s">
        <v>237</v>
      </c>
      <c r="D95" s="9" t="s">
        <v>33</v>
      </c>
      <c r="E95" s="9"/>
      <c r="F95" s="10"/>
      <c r="G95" s="11">
        <v>0</v>
      </c>
      <c r="H95" s="4">
        <v>0</v>
      </c>
    </row>
    <row r="96" spans="1:8" x14ac:dyDescent="0.35">
      <c r="A96" t="s">
        <v>92</v>
      </c>
      <c r="B96" t="s">
        <v>93</v>
      </c>
      <c r="C96" t="s">
        <v>237</v>
      </c>
      <c r="D96" t="s">
        <v>94</v>
      </c>
      <c r="E96" t="s">
        <v>16</v>
      </c>
      <c r="F96" s="2" t="s">
        <v>95</v>
      </c>
      <c r="G96" s="3">
        <v>16800</v>
      </c>
      <c r="H96" s="4">
        <v>1008</v>
      </c>
    </row>
    <row r="97" spans="1:8" x14ac:dyDescent="0.35">
      <c r="A97" s="5" t="s">
        <v>96</v>
      </c>
      <c r="B97" s="5" t="s">
        <v>97</v>
      </c>
      <c r="C97" s="5" t="s">
        <v>237</v>
      </c>
      <c r="D97" s="5" t="s">
        <v>53</v>
      </c>
      <c r="E97" s="5" t="s">
        <v>28</v>
      </c>
      <c r="F97" s="6" t="s">
        <v>98</v>
      </c>
      <c r="G97" s="7">
        <v>37440</v>
      </c>
      <c r="H97" s="4">
        <v>2246.4</v>
      </c>
    </row>
    <row r="98" spans="1:8" x14ac:dyDescent="0.35">
      <c r="A98" s="5" t="s">
        <v>99</v>
      </c>
      <c r="B98" s="5" t="s">
        <v>100</v>
      </c>
      <c r="C98" s="5" t="s">
        <v>237</v>
      </c>
      <c r="D98" s="5" t="s">
        <v>60</v>
      </c>
      <c r="E98" s="5" t="s">
        <v>22</v>
      </c>
      <c r="F98" s="6" t="s">
        <v>101</v>
      </c>
      <c r="G98" s="7">
        <v>44000</v>
      </c>
      <c r="H98" s="4">
        <v>2640</v>
      </c>
    </row>
    <row r="99" spans="1:8" x14ac:dyDescent="0.35">
      <c r="A99" s="5" t="s">
        <v>102</v>
      </c>
      <c r="B99" s="5" t="s">
        <v>103</v>
      </c>
      <c r="C99" s="5" t="s">
        <v>237</v>
      </c>
      <c r="D99" s="5" t="s">
        <v>94</v>
      </c>
      <c r="E99" s="5" t="s">
        <v>22</v>
      </c>
      <c r="F99" s="6" t="s">
        <v>104</v>
      </c>
      <c r="G99" s="7">
        <v>108000</v>
      </c>
      <c r="H99" s="4">
        <v>6480</v>
      </c>
    </row>
    <row r="100" spans="1:8" x14ac:dyDescent="0.35">
      <c r="A100" s="9" t="s">
        <v>105</v>
      </c>
      <c r="B100" s="9" t="s">
        <v>106</v>
      </c>
      <c r="C100" s="9" t="s">
        <v>237</v>
      </c>
      <c r="D100" s="9" t="s">
        <v>60</v>
      </c>
      <c r="E100" s="9" t="s">
        <v>16</v>
      </c>
      <c r="F100" s="10" t="s">
        <v>107</v>
      </c>
      <c r="G100" s="11">
        <v>0</v>
      </c>
      <c r="H100" s="4">
        <v>0</v>
      </c>
    </row>
    <row r="101" spans="1:8" x14ac:dyDescent="0.35">
      <c r="A101" s="13" t="s">
        <v>108</v>
      </c>
      <c r="B101" s="13" t="s">
        <v>109</v>
      </c>
      <c r="C101" s="13" t="s">
        <v>237</v>
      </c>
      <c r="D101" s="13" t="s">
        <v>60</v>
      </c>
      <c r="E101" s="13" t="s">
        <v>110</v>
      </c>
      <c r="F101" s="14" t="s">
        <v>111</v>
      </c>
      <c r="G101" s="15">
        <v>47840</v>
      </c>
      <c r="H101" s="4">
        <v>2870.4</v>
      </c>
    </row>
    <row r="102" spans="1:8" x14ac:dyDescent="0.35">
      <c r="A102" s="5" t="s">
        <v>112</v>
      </c>
      <c r="B102" s="5" t="s">
        <v>113</v>
      </c>
      <c r="C102" s="5" t="s">
        <v>237</v>
      </c>
      <c r="D102" s="5" t="s">
        <v>94</v>
      </c>
      <c r="E102" s="5" t="s">
        <v>22</v>
      </c>
      <c r="F102" s="6" t="s">
        <v>114</v>
      </c>
      <c r="G102" s="7">
        <v>5520</v>
      </c>
      <c r="H102" s="4">
        <v>331.2</v>
      </c>
    </row>
    <row r="103" spans="1:8" x14ac:dyDescent="0.35">
      <c r="A103" s="5" t="s">
        <v>115</v>
      </c>
      <c r="B103" s="5" t="s">
        <v>116</v>
      </c>
      <c r="C103" s="5" t="s">
        <v>237</v>
      </c>
      <c r="D103" s="5" t="s">
        <v>40</v>
      </c>
      <c r="E103" s="5" t="s">
        <v>22</v>
      </c>
      <c r="F103" s="6" t="s">
        <v>117</v>
      </c>
      <c r="G103" s="7">
        <v>33200</v>
      </c>
      <c r="H103" s="4">
        <v>1992</v>
      </c>
    </row>
    <row r="104" spans="1:8" x14ac:dyDescent="0.35">
      <c r="A104" t="s">
        <v>118</v>
      </c>
      <c r="B104" t="s">
        <v>119</v>
      </c>
      <c r="C104" t="s">
        <v>237</v>
      </c>
      <c r="D104" t="s">
        <v>94</v>
      </c>
      <c r="E104" t="s">
        <v>16</v>
      </c>
      <c r="F104" s="2" t="s">
        <v>44</v>
      </c>
      <c r="G104" s="3">
        <v>12880</v>
      </c>
      <c r="H104" s="4">
        <v>772.8</v>
      </c>
    </row>
    <row r="105" spans="1:8" x14ac:dyDescent="0.35">
      <c r="A105" t="s">
        <v>120</v>
      </c>
      <c r="B105" t="s">
        <v>121</v>
      </c>
      <c r="C105" t="s">
        <v>237</v>
      </c>
      <c r="D105" t="s">
        <v>40</v>
      </c>
      <c r="E105" t="s">
        <v>28</v>
      </c>
      <c r="F105" s="2">
        <v>0.16666666666666666</v>
      </c>
      <c r="G105" s="3">
        <v>20000</v>
      </c>
      <c r="H105" s="4">
        <v>1200</v>
      </c>
    </row>
    <row r="106" spans="1:8" x14ac:dyDescent="0.35">
      <c r="A106" t="s">
        <v>122</v>
      </c>
      <c r="B106" t="s">
        <v>123</v>
      </c>
      <c r="C106" t="s">
        <v>237</v>
      </c>
      <c r="D106" t="s">
        <v>40</v>
      </c>
      <c r="E106" t="s">
        <v>28</v>
      </c>
      <c r="F106" s="2" t="s">
        <v>124</v>
      </c>
      <c r="G106" s="3">
        <v>24480</v>
      </c>
      <c r="H106" s="4">
        <v>1468.8</v>
      </c>
    </row>
    <row r="107" spans="1:8" x14ac:dyDescent="0.35">
      <c r="A107" s="5" t="s">
        <v>125</v>
      </c>
      <c r="B107" s="5" t="s">
        <v>126</v>
      </c>
      <c r="C107" s="5" t="s">
        <v>237</v>
      </c>
      <c r="D107" s="5" t="s">
        <v>40</v>
      </c>
      <c r="E107" s="5" t="s">
        <v>28</v>
      </c>
      <c r="F107" s="6">
        <v>0.55902777777777779</v>
      </c>
      <c r="G107" s="7">
        <v>58000</v>
      </c>
      <c r="H107" s="4">
        <v>3480</v>
      </c>
    </row>
    <row r="108" spans="1:8" x14ac:dyDescent="0.35">
      <c r="A108" s="5" t="s">
        <v>127</v>
      </c>
      <c r="B108" s="5" t="s">
        <v>128</v>
      </c>
      <c r="C108" s="5" t="s">
        <v>237</v>
      </c>
      <c r="D108" s="5" t="s">
        <v>40</v>
      </c>
      <c r="E108" s="5" t="s">
        <v>28</v>
      </c>
      <c r="F108" s="6" t="s">
        <v>104</v>
      </c>
      <c r="G108" s="7">
        <v>78240</v>
      </c>
      <c r="H108" s="4">
        <v>4694.3999999999996</v>
      </c>
    </row>
    <row r="109" spans="1:8" x14ac:dyDescent="0.35">
      <c r="A109" s="5" t="s">
        <v>129</v>
      </c>
      <c r="B109" s="5" t="s">
        <v>130</v>
      </c>
      <c r="C109" s="5" t="s">
        <v>237</v>
      </c>
      <c r="D109" s="5" t="s">
        <v>40</v>
      </c>
      <c r="E109" s="5" t="s">
        <v>28</v>
      </c>
      <c r="F109" s="6" t="s">
        <v>104</v>
      </c>
      <c r="G109" s="7">
        <v>58000</v>
      </c>
      <c r="H109" s="4">
        <v>3480</v>
      </c>
    </row>
    <row r="110" spans="1:8" x14ac:dyDescent="0.35">
      <c r="A110" s="5" t="s">
        <v>131</v>
      </c>
      <c r="B110" s="5" t="s">
        <v>132</v>
      </c>
      <c r="C110" s="5" t="s">
        <v>237</v>
      </c>
      <c r="D110" s="5" t="s">
        <v>53</v>
      </c>
      <c r="E110" s="5" t="s">
        <v>28</v>
      </c>
      <c r="F110" s="6">
        <v>0.44097222222222221</v>
      </c>
      <c r="G110" s="7">
        <v>41600</v>
      </c>
      <c r="H110" s="4">
        <v>2496</v>
      </c>
    </row>
    <row r="111" spans="1:8" x14ac:dyDescent="0.35">
      <c r="A111" s="5" t="s">
        <v>133</v>
      </c>
      <c r="B111" s="5" t="s">
        <v>134</v>
      </c>
      <c r="C111" s="5" t="s">
        <v>237</v>
      </c>
      <c r="D111" s="5" t="s">
        <v>29</v>
      </c>
      <c r="E111" s="5" t="s">
        <v>28</v>
      </c>
      <c r="F111" s="6" t="s">
        <v>29</v>
      </c>
      <c r="G111" s="7">
        <v>51520</v>
      </c>
      <c r="H111" s="4">
        <v>3091.2</v>
      </c>
    </row>
    <row r="112" spans="1:8" x14ac:dyDescent="0.35">
      <c r="A112" t="s">
        <v>135</v>
      </c>
      <c r="B112" t="s">
        <v>136</v>
      </c>
      <c r="C112" t="s">
        <v>237</v>
      </c>
      <c r="D112" t="s">
        <v>29</v>
      </c>
      <c r="E112" t="s">
        <v>28</v>
      </c>
      <c r="F112" s="2" t="s">
        <v>29</v>
      </c>
      <c r="G112" s="3">
        <v>57120</v>
      </c>
      <c r="H112" s="4">
        <v>3427.2</v>
      </c>
    </row>
    <row r="113" spans="1:8" x14ac:dyDescent="0.35">
      <c r="A113" t="s">
        <v>137</v>
      </c>
      <c r="B113" t="s">
        <v>138</v>
      </c>
      <c r="C113" t="s">
        <v>237</v>
      </c>
      <c r="D113" t="s">
        <v>139</v>
      </c>
      <c r="E113" t="s">
        <v>110</v>
      </c>
      <c r="F113" s="2" t="s">
        <v>140</v>
      </c>
      <c r="G113" s="3">
        <v>44560</v>
      </c>
      <c r="H113" s="4">
        <v>2673.6</v>
      </c>
    </row>
    <row r="114" spans="1:8" x14ac:dyDescent="0.35">
      <c r="A114" s="5" t="s">
        <v>141</v>
      </c>
      <c r="B114" s="5" t="s">
        <v>142</v>
      </c>
      <c r="C114" s="5" t="s">
        <v>237</v>
      </c>
      <c r="D114" s="5" t="s">
        <v>139</v>
      </c>
      <c r="E114" s="5" t="s">
        <v>28</v>
      </c>
      <c r="F114" s="6" t="s">
        <v>143</v>
      </c>
      <c r="G114" s="7">
        <v>52640</v>
      </c>
      <c r="H114" s="4">
        <v>3158.4</v>
      </c>
    </row>
    <row r="115" spans="1:8" x14ac:dyDescent="0.35">
      <c r="A115" t="s">
        <v>144</v>
      </c>
      <c r="B115" t="s">
        <v>145</v>
      </c>
      <c r="C115" t="s">
        <v>237</v>
      </c>
      <c r="D115" t="s">
        <v>139</v>
      </c>
      <c r="E115" t="s">
        <v>16</v>
      </c>
      <c r="F115" s="2" t="s">
        <v>146</v>
      </c>
      <c r="G115" s="3">
        <v>52640</v>
      </c>
      <c r="H115" s="4">
        <v>3158.4</v>
      </c>
    </row>
    <row r="116" spans="1:8" x14ac:dyDescent="0.35">
      <c r="A116" s="5" t="s">
        <v>147</v>
      </c>
      <c r="B116" s="5" t="s">
        <v>148</v>
      </c>
      <c r="C116" s="5" t="s">
        <v>237</v>
      </c>
      <c r="D116" s="5" t="s">
        <v>139</v>
      </c>
      <c r="E116" s="5" t="s">
        <v>28</v>
      </c>
      <c r="F116" s="6" t="s">
        <v>149</v>
      </c>
      <c r="G116" s="7">
        <v>55760</v>
      </c>
      <c r="H116" s="4">
        <v>3345.6</v>
      </c>
    </row>
    <row r="117" spans="1:8" x14ac:dyDescent="0.35">
      <c r="A117" t="s">
        <v>150</v>
      </c>
      <c r="B117" t="s">
        <v>151</v>
      </c>
      <c r="C117" t="s">
        <v>237</v>
      </c>
      <c r="D117" t="s">
        <v>139</v>
      </c>
      <c r="E117" t="s">
        <v>16</v>
      </c>
      <c r="F117" s="2" t="s">
        <v>152</v>
      </c>
      <c r="G117" s="3">
        <v>55760</v>
      </c>
      <c r="H117" s="4">
        <v>3345.6</v>
      </c>
    </row>
    <row r="118" spans="1:8" x14ac:dyDescent="0.35">
      <c r="A118" s="9" t="s">
        <v>153</v>
      </c>
      <c r="B118" s="9" t="s">
        <v>154</v>
      </c>
      <c r="C118" s="9" t="s">
        <v>237</v>
      </c>
      <c r="D118" s="9" t="s">
        <v>139</v>
      </c>
      <c r="E118" s="9" t="s">
        <v>28</v>
      </c>
      <c r="F118" s="10" t="s">
        <v>155</v>
      </c>
      <c r="G118" s="11">
        <v>0</v>
      </c>
      <c r="H118" s="4">
        <v>0</v>
      </c>
    </row>
    <row r="119" spans="1:8" x14ac:dyDescent="0.35">
      <c r="A119" t="s">
        <v>156</v>
      </c>
      <c r="B119" t="s">
        <v>157</v>
      </c>
      <c r="C119" t="s">
        <v>237</v>
      </c>
      <c r="D119" t="s">
        <v>139</v>
      </c>
      <c r="E119" t="s">
        <v>28</v>
      </c>
      <c r="F119" s="2" t="s">
        <v>155</v>
      </c>
      <c r="G119" s="3">
        <v>78240</v>
      </c>
      <c r="H119" s="4">
        <v>4694.3999999999996</v>
      </c>
    </row>
    <row r="120" spans="1:8" x14ac:dyDescent="0.35">
      <c r="A120" t="s">
        <v>158</v>
      </c>
      <c r="B120" t="s">
        <v>159</v>
      </c>
      <c r="C120" t="s">
        <v>237</v>
      </c>
      <c r="D120" t="s">
        <v>139</v>
      </c>
      <c r="E120" t="s">
        <v>16</v>
      </c>
      <c r="F120" s="2" t="s">
        <v>155</v>
      </c>
      <c r="G120" s="3">
        <v>78240</v>
      </c>
      <c r="H120" s="4">
        <v>4694.3999999999996</v>
      </c>
    </row>
    <row r="121" spans="1:8" x14ac:dyDescent="0.35">
      <c r="A121" s="5" t="s">
        <v>160</v>
      </c>
      <c r="B121" s="5" t="s">
        <v>161</v>
      </c>
      <c r="C121" s="5" t="s">
        <v>237</v>
      </c>
      <c r="D121" s="5" t="s">
        <v>40</v>
      </c>
      <c r="E121" s="5" t="s">
        <v>28</v>
      </c>
      <c r="F121" s="6" t="s">
        <v>54</v>
      </c>
      <c r="G121" s="7">
        <v>43520</v>
      </c>
      <c r="H121" s="4">
        <v>2611.1999999999998</v>
      </c>
    </row>
    <row r="122" spans="1:8" x14ac:dyDescent="0.35">
      <c r="A122" t="s">
        <v>162</v>
      </c>
      <c r="B122" t="s">
        <v>163</v>
      </c>
      <c r="C122" t="s">
        <v>237</v>
      </c>
      <c r="D122" t="s">
        <v>139</v>
      </c>
      <c r="E122" t="s">
        <v>110</v>
      </c>
      <c r="F122" s="2" t="s">
        <v>164</v>
      </c>
      <c r="G122" s="3">
        <v>0</v>
      </c>
      <c r="H122" s="4">
        <v>0</v>
      </c>
    </row>
    <row r="123" spans="1:8" x14ac:dyDescent="0.35">
      <c r="A123" t="s">
        <v>165</v>
      </c>
      <c r="B123" t="s">
        <v>166</v>
      </c>
      <c r="C123" t="s">
        <v>237</v>
      </c>
      <c r="D123" t="s">
        <v>94</v>
      </c>
      <c r="E123" t="s">
        <v>167</v>
      </c>
      <c r="F123" s="2" t="s">
        <v>168</v>
      </c>
      <c r="G123" s="3">
        <v>49040</v>
      </c>
      <c r="H123" s="4">
        <v>2942.4</v>
      </c>
    </row>
    <row r="124" spans="1:8" x14ac:dyDescent="0.35">
      <c r="A124" t="s">
        <v>169</v>
      </c>
      <c r="B124" t="s">
        <v>170</v>
      </c>
      <c r="C124" t="s">
        <v>237</v>
      </c>
      <c r="D124" t="s">
        <v>40</v>
      </c>
      <c r="E124" t="s">
        <v>16</v>
      </c>
      <c r="F124" s="2" t="s">
        <v>171</v>
      </c>
      <c r="G124" s="3">
        <v>63280</v>
      </c>
      <c r="H124" s="4">
        <v>3796.8</v>
      </c>
    </row>
    <row r="125" spans="1:8" x14ac:dyDescent="0.35">
      <c r="A125" s="5" t="s">
        <v>172</v>
      </c>
      <c r="B125" s="5" t="s">
        <v>173</v>
      </c>
      <c r="C125" s="5" t="s">
        <v>237</v>
      </c>
      <c r="D125" s="5" t="s">
        <v>40</v>
      </c>
      <c r="E125" s="5" t="s">
        <v>110</v>
      </c>
      <c r="F125" s="6" t="s">
        <v>174</v>
      </c>
      <c r="G125" s="7">
        <v>63920</v>
      </c>
      <c r="H125" s="4">
        <v>3835.2</v>
      </c>
    </row>
    <row r="126" spans="1:8" x14ac:dyDescent="0.35">
      <c r="A126" s="5" t="s">
        <v>175</v>
      </c>
      <c r="B126" s="5" t="s">
        <v>176</v>
      </c>
      <c r="C126" s="5" t="s">
        <v>237</v>
      </c>
      <c r="D126" s="5" t="s">
        <v>40</v>
      </c>
      <c r="E126" s="5" t="s">
        <v>28</v>
      </c>
      <c r="F126" s="6" t="s">
        <v>177</v>
      </c>
      <c r="G126" s="7">
        <v>63280</v>
      </c>
      <c r="H126" s="4">
        <v>3796.8</v>
      </c>
    </row>
    <row r="127" spans="1:8" x14ac:dyDescent="0.35">
      <c r="A127" t="s">
        <v>178</v>
      </c>
      <c r="B127" t="s">
        <v>113</v>
      </c>
      <c r="C127" t="s">
        <v>237</v>
      </c>
      <c r="D127" t="s">
        <v>94</v>
      </c>
      <c r="E127" t="s">
        <v>179</v>
      </c>
      <c r="F127" s="2" t="s">
        <v>180</v>
      </c>
      <c r="G127" s="3">
        <v>49040</v>
      </c>
      <c r="H127" s="4">
        <v>2942.4</v>
      </c>
    </row>
    <row r="128" spans="1:8" x14ac:dyDescent="0.35">
      <c r="A128" t="s">
        <v>181</v>
      </c>
      <c r="B128" t="s">
        <v>182</v>
      </c>
      <c r="C128" t="s">
        <v>237</v>
      </c>
      <c r="D128" t="s">
        <v>29</v>
      </c>
      <c r="E128" t="s">
        <v>183</v>
      </c>
      <c r="F128" s="2" t="s">
        <v>29</v>
      </c>
      <c r="G128" s="3">
        <v>0</v>
      </c>
      <c r="H128" s="4">
        <v>0</v>
      </c>
    </row>
    <row r="129" spans="1:12" x14ac:dyDescent="0.35">
      <c r="A129" t="s">
        <v>184</v>
      </c>
      <c r="B129" t="s">
        <v>185</v>
      </c>
      <c r="C129" t="s">
        <v>237</v>
      </c>
      <c r="D129" t="s">
        <v>29</v>
      </c>
      <c r="E129" t="s">
        <v>70</v>
      </c>
      <c r="F129" s="2" t="s">
        <v>29</v>
      </c>
      <c r="G129" s="3">
        <v>22080</v>
      </c>
      <c r="H129" s="4">
        <v>1324.8</v>
      </c>
    </row>
    <row r="130" spans="1:12" x14ac:dyDescent="0.35">
      <c r="A130" s="5" t="s">
        <v>186</v>
      </c>
      <c r="B130" s="5" t="s">
        <v>187</v>
      </c>
      <c r="C130" s="5" t="s">
        <v>237</v>
      </c>
      <c r="D130" s="5" t="s">
        <v>27</v>
      </c>
      <c r="E130" s="5" t="s">
        <v>188</v>
      </c>
      <c r="F130" s="6" t="s">
        <v>189</v>
      </c>
      <c r="G130" s="7">
        <v>43120</v>
      </c>
      <c r="H130" s="4">
        <v>2587.1999999999998</v>
      </c>
    </row>
    <row r="131" spans="1:12" x14ac:dyDescent="0.35">
      <c r="A131" s="9" t="s">
        <v>190</v>
      </c>
      <c r="B131" s="9" t="s">
        <v>191</v>
      </c>
      <c r="C131" s="9" t="s">
        <v>237</v>
      </c>
      <c r="D131" s="9" t="s">
        <v>29</v>
      </c>
      <c r="E131" s="9" t="s">
        <v>22</v>
      </c>
      <c r="F131" s="10" t="s">
        <v>29</v>
      </c>
      <c r="G131" s="11">
        <v>32800</v>
      </c>
      <c r="H131" s="4">
        <v>1968</v>
      </c>
    </row>
    <row r="132" spans="1:12" x14ac:dyDescent="0.35">
      <c r="A132" t="s">
        <v>192</v>
      </c>
      <c r="B132" t="s">
        <v>193</v>
      </c>
      <c r="C132" t="s">
        <v>237</v>
      </c>
      <c r="D132" t="s">
        <v>29</v>
      </c>
      <c r="E132" t="s">
        <v>188</v>
      </c>
      <c r="F132" s="2" t="s">
        <v>29</v>
      </c>
      <c r="G132" s="3">
        <v>22080</v>
      </c>
      <c r="H132" s="4">
        <v>1324.8</v>
      </c>
    </row>
    <row r="133" spans="1:12" x14ac:dyDescent="0.35">
      <c r="A133" s="5" t="s">
        <v>194</v>
      </c>
      <c r="B133" s="5" t="s">
        <v>195</v>
      </c>
      <c r="C133" s="5" t="s">
        <v>237</v>
      </c>
      <c r="D133" s="5" t="s">
        <v>29</v>
      </c>
      <c r="E133" s="5" t="s">
        <v>167</v>
      </c>
      <c r="F133" s="6" t="s">
        <v>29</v>
      </c>
      <c r="G133" s="7">
        <v>21280</v>
      </c>
      <c r="H133" s="4">
        <v>1276.8</v>
      </c>
    </row>
    <row r="134" spans="1:12" x14ac:dyDescent="0.35">
      <c r="A134" t="s">
        <v>196</v>
      </c>
      <c r="B134" t="s">
        <v>197</v>
      </c>
      <c r="C134" t="s">
        <v>237</v>
      </c>
      <c r="D134" t="s">
        <v>198</v>
      </c>
      <c r="E134" t="s">
        <v>77</v>
      </c>
      <c r="F134" s="2" t="s">
        <v>29</v>
      </c>
      <c r="G134" s="3">
        <v>21280</v>
      </c>
      <c r="H134" s="4">
        <v>1276.8</v>
      </c>
    </row>
    <row r="135" spans="1:12" x14ac:dyDescent="0.35">
      <c r="A135" t="s">
        <v>199</v>
      </c>
      <c r="B135" t="s">
        <v>200</v>
      </c>
      <c r="C135" t="s">
        <v>237</v>
      </c>
      <c r="D135" t="s">
        <v>57</v>
      </c>
      <c r="E135" t="s">
        <v>16</v>
      </c>
      <c r="F135" s="2" t="s">
        <v>201</v>
      </c>
      <c r="G135" s="3">
        <v>0</v>
      </c>
      <c r="H135" s="4">
        <v>0</v>
      </c>
    </row>
    <row r="136" spans="1:12" x14ac:dyDescent="0.35">
      <c r="A136" t="s">
        <v>202</v>
      </c>
      <c r="B136" t="s">
        <v>203</v>
      </c>
      <c r="C136" t="s">
        <v>237</v>
      </c>
      <c r="D136" t="s">
        <v>204</v>
      </c>
      <c r="E136" t="s">
        <v>179</v>
      </c>
      <c r="F136" s="2" t="s">
        <v>205</v>
      </c>
      <c r="G136" s="3">
        <v>0</v>
      </c>
      <c r="H136" s="4">
        <v>0</v>
      </c>
    </row>
    <row r="137" spans="1:12" x14ac:dyDescent="0.35">
      <c r="A137" s="5" t="s">
        <v>206</v>
      </c>
      <c r="B137" s="5" t="s">
        <v>207</v>
      </c>
      <c r="C137" s="5" t="s">
        <v>237</v>
      </c>
      <c r="D137" s="5" t="s">
        <v>57</v>
      </c>
      <c r="E137" s="5" t="s">
        <v>16</v>
      </c>
      <c r="F137" s="6" t="s">
        <v>107</v>
      </c>
      <c r="G137" s="7">
        <v>24160</v>
      </c>
      <c r="H137" s="4">
        <v>1449.6</v>
      </c>
    </row>
    <row r="138" spans="1:12" x14ac:dyDescent="0.35">
      <c r="A138" s="5" t="s">
        <v>208</v>
      </c>
      <c r="B138" s="5" t="s">
        <v>209</v>
      </c>
      <c r="C138" s="5" t="s">
        <v>237</v>
      </c>
      <c r="D138" s="5" t="s">
        <v>57</v>
      </c>
      <c r="E138" s="5" t="s">
        <v>28</v>
      </c>
      <c r="F138" s="6" t="s">
        <v>210</v>
      </c>
      <c r="G138" s="7">
        <v>48320</v>
      </c>
      <c r="H138" s="4">
        <v>2899.2</v>
      </c>
    </row>
    <row r="139" spans="1:12" x14ac:dyDescent="0.35">
      <c r="A139" t="s">
        <v>211</v>
      </c>
      <c r="B139" t="s">
        <v>212</v>
      </c>
      <c r="C139" t="s">
        <v>237</v>
      </c>
      <c r="D139" t="s">
        <v>57</v>
      </c>
      <c r="E139" t="s">
        <v>183</v>
      </c>
      <c r="F139" s="2" t="s">
        <v>213</v>
      </c>
      <c r="G139" s="3">
        <v>45280</v>
      </c>
      <c r="H139" s="4">
        <v>2716.8</v>
      </c>
    </row>
    <row r="140" spans="1:12" x14ac:dyDescent="0.35">
      <c r="A140" t="s">
        <v>214</v>
      </c>
      <c r="B140" t="s">
        <v>215</v>
      </c>
      <c r="C140" t="s">
        <v>237</v>
      </c>
      <c r="D140" t="s">
        <v>204</v>
      </c>
      <c r="E140" t="s">
        <v>188</v>
      </c>
      <c r="F140" s="2" t="s">
        <v>216</v>
      </c>
      <c r="G140" s="3">
        <v>43520</v>
      </c>
      <c r="H140" s="4">
        <v>2611.1999999999998</v>
      </c>
    </row>
    <row r="141" spans="1:12" x14ac:dyDescent="0.35">
      <c r="A141" s="5" t="s">
        <v>217</v>
      </c>
      <c r="B141" s="5" t="s">
        <v>218</v>
      </c>
      <c r="C141" s="5" t="s">
        <v>237</v>
      </c>
      <c r="D141" s="5" t="s">
        <v>57</v>
      </c>
      <c r="E141" s="5" t="s">
        <v>22</v>
      </c>
      <c r="F141" s="6">
        <v>0.57986111111111116</v>
      </c>
      <c r="G141" s="7">
        <v>43520</v>
      </c>
      <c r="H141" s="4">
        <v>2611.1999999999998</v>
      </c>
    </row>
    <row r="142" spans="1:12" x14ac:dyDescent="0.35">
      <c r="A142" t="s">
        <v>219</v>
      </c>
      <c r="B142" t="s">
        <v>220</v>
      </c>
      <c r="C142" t="s">
        <v>237</v>
      </c>
      <c r="D142" t="s">
        <v>29</v>
      </c>
      <c r="E142" t="s">
        <v>167</v>
      </c>
      <c r="F142" s="2" t="s">
        <v>29</v>
      </c>
      <c r="G142" s="3">
        <v>21280</v>
      </c>
      <c r="H142" s="4">
        <v>1276.8</v>
      </c>
    </row>
    <row r="143" spans="1:12" x14ac:dyDescent="0.35">
      <c r="A143" s="9" t="s">
        <v>221</v>
      </c>
      <c r="B143" s="9" t="s">
        <v>222</v>
      </c>
      <c r="C143" s="9" t="s">
        <v>237</v>
      </c>
      <c r="D143" s="9" t="s">
        <v>81</v>
      </c>
      <c r="E143" s="9"/>
      <c r="F143" s="10"/>
      <c r="G143" s="11">
        <v>43520</v>
      </c>
      <c r="H143" s="4">
        <v>2611.1999999999998</v>
      </c>
      <c r="K143" t="s">
        <v>238</v>
      </c>
      <c r="L143" t="s">
        <v>30</v>
      </c>
    </row>
    <row r="144" spans="1:12" x14ac:dyDescent="0.35">
      <c r="A144" t="s">
        <v>223</v>
      </c>
      <c r="B144" t="s">
        <v>224</v>
      </c>
      <c r="C144" t="s">
        <v>237</v>
      </c>
      <c r="D144" t="s">
        <v>198</v>
      </c>
      <c r="E144" t="s">
        <v>77</v>
      </c>
      <c r="F144" s="2" t="s">
        <v>29</v>
      </c>
      <c r="G144" s="3">
        <v>43520</v>
      </c>
      <c r="H144" s="4">
        <v>2611.1999999999998</v>
      </c>
      <c r="K144" t="s">
        <v>239</v>
      </c>
      <c r="L144">
        <f>_xlfn.XLOOKUP(L143,J:J,L:L)</f>
        <v>1</v>
      </c>
    </row>
    <row r="145" spans="1:14" x14ac:dyDescent="0.35">
      <c r="A145" t="s">
        <v>225</v>
      </c>
      <c r="B145" t="s">
        <v>226</v>
      </c>
      <c r="C145" t="s">
        <v>237</v>
      </c>
      <c r="D145" t="s">
        <v>139</v>
      </c>
      <c r="E145" t="s">
        <v>28</v>
      </c>
      <c r="F145" s="2" t="s">
        <v>227</v>
      </c>
      <c r="G145" s="3">
        <v>54400</v>
      </c>
      <c r="H145" s="4">
        <v>3264</v>
      </c>
      <c r="K145" t="s">
        <v>240</v>
      </c>
      <c r="L145">
        <v>11</v>
      </c>
      <c r="N145" s="4">
        <f>$K$146*$L$145</f>
        <v>51638.399999999994</v>
      </c>
    </row>
    <row r="146" spans="1:14" x14ac:dyDescent="0.35">
      <c r="K146" s="4">
        <f>H108*$L$144</f>
        <v>4694.3999999999996</v>
      </c>
    </row>
    <row r="155" spans="1:14" x14ac:dyDescent="0.35">
      <c r="K155" s="18">
        <v>1428224351.9200001</v>
      </c>
    </row>
    <row r="156" spans="1:14" x14ac:dyDescent="0.35">
      <c r="K156" s="18">
        <v>851305354.79799998</v>
      </c>
    </row>
    <row r="157" spans="1:14" x14ac:dyDescent="0.35">
      <c r="K157" s="17">
        <f>K156/K155</f>
        <v>0.59605856296566262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3F6E-0529-4C28-827F-B51F6D1C94E2}">
  <dimension ref="A1:D27"/>
  <sheetViews>
    <sheetView workbookViewId="0">
      <selection activeCell="F12" sqref="F12"/>
    </sheetView>
  </sheetViews>
  <sheetFormatPr defaultRowHeight="14.5" x14ac:dyDescent="0.35"/>
  <cols>
    <col min="2" max="2" width="15.54296875" bestFit="1" customWidth="1"/>
    <col min="3" max="3" width="15.54296875" customWidth="1"/>
    <col min="4" max="4" width="12.54296875" bestFit="1" customWidth="1"/>
  </cols>
  <sheetData>
    <row r="1" spans="1:4" x14ac:dyDescent="0.35">
      <c r="A1" t="s">
        <v>3</v>
      </c>
      <c r="B1" t="s">
        <v>5</v>
      </c>
      <c r="C1" t="s">
        <v>241</v>
      </c>
      <c r="D1" t="s">
        <v>242</v>
      </c>
    </row>
    <row r="2" spans="1:4" x14ac:dyDescent="0.35">
      <c r="A2" t="s">
        <v>58</v>
      </c>
      <c r="B2" t="s">
        <v>14</v>
      </c>
      <c r="C2" t="str">
        <f>CONCATENATE(d_SiglasExceção[[#This Row],[PGM]],"_",d_SiglasExceção[[#This Row],[programa_tipo]])</f>
        <v>CEMU_NET</v>
      </c>
      <c r="D2" t="s">
        <v>243</v>
      </c>
    </row>
    <row r="3" spans="1:4" x14ac:dyDescent="0.35">
      <c r="A3" t="s">
        <v>71</v>
      </c>
      <c r="B3" t="s">
        <v>14</v>
      </c>
      <c r="C3" t="str">
        <f>CONCATENATE(d_SiglasExceção[[#This Row],[PGM]],"_",d_SiglasExceção[[#This Row],[programa_tipo]])</f>
        <v>CMAD_NET</v>
      </c>
      <c r="D3" t="s">
        <v>243</v>
      </c>
    </row>
    <row r="4" spans="1:4" x14ac:dyDescent="0.35">
      <c r="A4" t="s">
        <v>90</v>
      </c>
      <c r="B4" t="s">
        <v>14</v>
      </c>
      <c r="C4" t="str">
        <f>CONCATENATE(d_SiglasExceção[[#This Row],[PGM]],"_",d_SiglasExceção[[#This Row],[programa_tipo]])</f>
        <v>ECAS_NET</v>
      </c>
      <c r="D4" t="s">
        <v>243</v>
      </c>
    </row>
    <row r="5" spans="1:4" x14ac:dyDescent="0.35">
      <c r="A5" t="s">
        <v>105</v>
      </c>
      <c r="B5" t="s">
        <v>14</v>
      </c>
      <c r="C5" t="str">
        <f>CONCATENATE(d_SiglasExceção[[#This Row],[PGM]],"_",d_SiglasExceção[[#This Row],[programa_tipo]])</f>
        <v>FCOM_NET</v>
      </c>
      <c r="D5" t="s">
        <v>243</v>
      </c>
    </row>
    <row r="6" spans="1:4" x14ac:dyDescent="0.35">
      <c r="A6" t="s">
        <v>199</v>
      </c>
      <c r="B6" t="s">
        <v>14</v>
      </c>
      <c r="C6" t="str">
        <f>CONCATENATE(d_SiglasExceção[[#This Row],[PGM]],"_",d_SiglasExceção[[#This Row],[programa_tipo]])</f>
        <v>SSAB_NET</v>
      </c>
      <c r="D6" t="s">
        <v>243</v>
      </c>
    </row>
    <row r="7" spans="1:4" x14ac:dyDescent="0.35">
      <c r="A7" t="s">
        <v>31</v>
      </c>
      <c r="B7" t="s">
        <v>244</v>
      </c>
      <c r="C7" t="str">
        <f>CONCATENATE(d_SiglasExceção[[#This Row],[PGM]],"_",d_SiglasExceção[[#This Row],[programa_tipo]])</f>
        <v>BIGB_SP1</v>
      </c>
      <c r="D7" t="s">
        <v>243</v>
      </c>
    </row>
    <row r="8" spans="1:4" x14ac:dyDescent="0.35">
      <c r="A8" t="s">
        <v>35</v>
      </c>
      <c r="B8" t="s">
        <v>244</v>
      </c>
      <c r="C8" t="str">
        <f>CONCATENATE(d_SiglasExceção[[#This Row],[PGM]],"_",d_SiglasExceção[[#This Row],[programa_tipo]])</f>
        <v>BIGF_SP1</v>
      </c>
      <c r="D8" t="s">
        <v>243</v>
      </c>
    </row>
    <row r="9" spans="1:4" x14ac:dyDescent="0.35">
      <c r="A9" t="s">
        <v>71</v>
      </c>
      <c r="B9" t="s">
        <v>244</v>
      </c>
      <c r="C9" t="str">
        <f>CONCATENATE(d_SiglasExceção[[#This Row],[PGM]],"_",d_SiglasExceção[[#This Row],[programa_tipo]])</f>
        <v>CMAD_SP1</v>
      </c>
      <c r="D9" t="s">
        <v>243</v>
      </c>
    </row>
    <row r="10" spans="1:4" x14ac:dyDescent="0.35">
      <c r="A10" t="s">
        <v>90</v>
      </c>
      <c r="B10" t="s">
        <v>244</v>
      </c>
      <c r="C10" t="str">
        <f>CONCATENATE(d_SiglasExceção[[#This Row],[PGM]],"_",d_SiglasExceção[[#This Row],[programa_tipo]])</f>
        <v>ECAS_SP1</v>
      </c>
      <c r="D10" t="s">
        <v>243</v>
      </c>
    </row>
    <row r="11" spans="1:4" x14ac:dyDescent="0.35">
      <c r="A11" t="s">
        <v>105</v>
      </c>
      <c r="B11" t="s">
        <v>244</v>
      </c>
      <c r="C11" t="str">
        <f>CONCATENATE(d_SiglasExceção[[#This Row],[PGM]],"_",d_SiglasExceção[[#This Row],[programa_tipo]])</f>
        <v>FCOM_SP1</v>
      </c>
      <c r="D11" t="s">
        <v>243</v>
      </c>
    </row>
    <row r="12" spans="1:4" x14ac:dyDescent="0.35">
      <c r="A12" t="s">
        <v>153</v>
      </c>
      <c r="B12" t="s">
        <v>244</v>
      </c>
      <c r="C12" t="str">
        <f>CONCATENATE(d_SiglasExceção[[#This Row],[PGM]],"_",d_SiglasExceção[[#This Row],[programa_tipo]])</f>
        <v>N20F_SP1</v>
      </c>
      <c r="D12" t="s">
        <v>243</v>
      </c>
    </row>
    <row r="13" spans="1:4" x14ac:dyDescent="0.35">
      <c r="A13" t="s">
        <v>162</v>
      </c>
      <c r="B13" t="s">
        <v>244</v>
      </c>
      <c r="C13" t="str">
        <f>CONCATENATE(d_SiglasExceção[[#This Row],[PGM]],"_",d_SiglasExceção[[#This Row],[programa_tipo]])</f>
        <v>NOVR_SP1</v>
      </c>
      <c r="D13" t="s">
        <v>243</v>
      </c>
    </row>
    <row r="14" spans="1:4" x14ac:dyDescent="0.35">
      <c r="A14" t="s">
        <v>181</v>
      </c>
      <c r="B14" t="s">
        <v>244</v>
      </c>
      <c r="C14" t="str">
        <f>CONCATENATE(d_SiglasExceção[[#This Row],[PGM]],"_",d_SiglasExceção[[#This Row],[programa_tipo]])</f>
        <v>SHO2_SP1</v>
      </c>
      <c r="D14" t="s">
        <v>243</v>
      </c>
    </row>
    <row r="15" spans="1:4" x14ac:dyDescent="0.35">
      <c r="A15" t="s">
        <v>199</v>
      </c>
      <c r="B15" t="s">
        <v>244</v>
      </c>
      <c r="C15" t="str">
        <f>CONCATENATE(d_SiglasExceção[[#This Row],[PGM]],"_",d_SiglasExceção[[#This Row],[programa_tipo]])</f>
        <v>SSAB_SP1</v>
      </c>
      <c r="D15" t="s">
        <v>243</v>
      </c>
    </row>
    <row r="16" spans="1:4" x14ac:dyDescent="0.35">
      <c r="A16" t="s">
        <v>202</v>
      </c>
      <c r="B16" t="s">
        <v>244</v>
      </c>
      <c r="C16" t="str">
        <f>CONCATENATE(d_SiglasExceção[[#This Row],[PGM]],"_",d_SiglasExceção[[#This Row],[programa_tipo]])</f>
        <v>SSUP_SP1</v>
      </c>
      <c r="D16" t="s">
        <v>243</v>
      </c>
    </row>
    <row r="17" spans="1:4" x14ac:dyDescent="0.35">
      <c r="A17" t="s">
        <v>31</v>
      </c>
      <c r="B17" t="s">
        <v>237</v>
      </c>
      <c r="C17" t="str">
        <f>CONCATENATE(d_SiglasExceção[[#This Row],[PGM]],"_",d_SiglasExceção[[#This Row],[programa_tipo]])</f>
        <v>BIGB_RJ</v>
      </c>
      <c r="D17" t="s">
        <v>243</v>
      </c>
    </row>
    <row r="18" spans="1:4" x14ac:dyDescent="0.35">
      <c r="A18" t="s">
        <v>35</v>
      </c>
      <c r="B18" t="s">
        <v>237</v>
      </c>
      <c r="C18" t="str">
        <f>CONCATENATE(d_SiglasExceção[[#This Row],[PGM]],"_",d_SiglasExceção[[#This Row],[programa_tipo]])</f>
        <v>BIGF_RJ</v>
      </c>
      <c r="D18" t="s">
        <v>243</v>
      </c>
    </row>
    <row r="19" spans="1:4" x14ac:dyDescent="0.35">
      <c r="A19" t="s">
        <v>58</v>
      </c>
      <c r="B19" t="s">
        <v>237</v>
      </c>
      <c r="C19" t="str">
        <f>CONCATENATE(d_SiglasExceção[[#This Row],[PGM]],"_",d_SiglasExceção[[#This Row],[programa_tipo]])</f>
        <v>CEMU_RJ</v>
      </c>
      <c r="D19" t="s">
        <v>243</v>
      </c>
    </row>
    <row r="20" spans="1:4" x14ac:dyDescent="0.35">
      <c r="A20" t="s">
        <v>71</v>
      </c>
      <c r="B20" t="s">
        <v>237</v>
      </c>
      <c r="C20" t="str">
        <f>CONCATENATE(d_SiglasExceção[[#This Row],[PGM]],"_",d_SiglasExceção[[#This Row],[programa_tipo]])</f>
        <v>CMAD_RJ</v>
      </c>
      <c r="D20" t="s">
        <v>243</v>
      </c>
    </row>
    <row r="21" spans="1:4" x14ac:dyDescent="0.35">
      <c r="A21" t="s">
        <v>90</v>
      </c>
      <c r="B21" t="s">
        <v>237</v>
      </c>
      <c r="C21" t="str">
        <f>CONCATENATE(d_SiglasExceção[[#This Row],[PGM]],"_",d_SiglasExceção[[#This Row],[programa_tipo]])</f>
        <v>ECAS_RJ</v>
      </c>
      <c r="D21" t="s">
        <v>243</v>
      </c>
    </row>
    <row r="22" spans="1:4" x14ac:dyDescent="0.35">
      <c r="A22" t="s">
        <v>105</v>
      </c>
      <c r="B22" t="s">
        <v>237</v>
      </c>
      <c r="C22" t="str">
        <f>CONCATENATE(d_SiglasExceção[[#This Row],[PGM]],"_",d_SiglasExceção[[#This Row],[programa_tipo]])</f>
        <v>FCOM_RJ</v>
      </c>
      <c r="D22" t="s">
        <v>243</v>
      </c>
    </row>
    <row r="23" spans="1:4" x14ac:dyDescent="0.35">
      <c r="A23" t="s">
        <v>153</v>
      </c>
      <c r="B23" t="s">
        <v>237</v>
      </c>
      <c r="C23" t="str">
        <f>CONCATENATE(d_SiglasExceção[[#This Row],[PGM]],"_",d_SiglasExceção[[#This Row],[programa_tipo]])</f>
        <v>N20F_RJ</v>
      </c>
      <c r="D23" t="s">
        <v>243</v>
      </c>
    </row>
    <row r="24" spans="1:4" x14ac:dyDescent="0.35">
      <c r="A24" t="s">
        <v>162</v>
      </c>
      <c r="B24" t="s">
        <v>237</v>
      </c>
      <c r="C24" t="str">
        <f>CONCATENATE(d_SiglasExceção[[#This Row],[PGM]],"_",d_SiglasExceção[[#This Row],[programa_tipo]])</f>
        <v>NOVR_RJ</v>
      </c>
      <c r="D24" t="s">
        <v>243</v>
      </c>
    </row>
    <row r="25" spans="1:4" x14ac:dyDescent="0.35">
      <c r="A25" t="s">
        <v>181</v>
      </c>
      <c r="B25" t="s">
        <v>237</v>
      </c>
      <c r="C25" t="str">
        <f>CONCATENATE(d_SiglasExceção[[#This Row],[PGM]],"_",d_SiglasExceção[[#This Row],[programa_tipo]])</f>
        <v>SHO2_RJ</v>
      </c>
      <c r="D25" t="s">
        <v>243</v>
      </c>
    </row>
    <row r="26" spans="1:4" x14ac:dyDescent="0.35">
      <c r="A26" t="s">
        <v>199</v>
      </c>
      <c r="B26" t="s">
        <v>237</v>
      </c>
      <c r="C26" t="str">
        <f>CONCATENATE(d_SiglasExceção[[#This Row],[PGM]],"_",d_SiglasExceção[[#This Row],[programa_tipo]])</f>
        <v>SSAB_RJ</v>
      </c>
      <c r="D26" t="s">
        <v>243</v>
      </c>
    </row>
    <row r="27" spans="1:4" x14ac:dyDescent="0.35">
      <c r="A27" t="s">
        <v>202</v>
      </c>
      <c r="B27" t="s">
        <v>237</v>
      </c>
      <c r="C27" t="str">
        <f>CONCATENATE(d_SiglasExceção[[#This Row],[PGM]],"_",d_SiglasExceção[[#This Row],[programa_tipo]])</f>
        <v>SSUP_RJ</v>
      </c>
      <c r="D27" t="s">
        <v>243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6d7186-06eb-40c5-bf25-88a34e0c16c7">
      <Terms xmlns="http://schemas.microsoft.com/office/infopath/2007/PartnerControls"/>
    </lcf76f155ced4ddcb4097134ff3c332f>
    <TaxCatchAll xmlns="65940c7e-06e4-4200-964e-bb4d9c987f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1166BD8E8B2C41B02DCA475EF4830E" ma:contentTypeVersion="20" ma:contentTypeDescription="Crie um novo documento." ma:contentTypeScope="" ma:versionID="fe1fc0330c48f40ea29dda98797fc64c">
  <xsd:schema xmlns:xsd="http://www.w3.org/2001/XMLSchema" xmlns:xs="http://www.w3.org/2001/XMLSchema" xmlns:p="http://schemas.microsoft.com/office/2006/metadata/properties" xmlns:ns2="406d7186-06eb-40c5-bf25-88a34e0c16c7" xmlns:ns3="65940c7e-06e4-4200-964e-bb4d9c987f19" targetNamespace="http://schemas.microsoft.com/office/2006/metadata/properties" ma:root="true" ma:fieldsID="bd0404fe391110c8fe836040f50303ac" ns2:_="" ns3:_="">
    <xsd:import namespace="406d7186-06eb-40c5-bf25-88a34e0c16c7"/>
    <xsd:import namespace="65940c7e-06e4-4200-964e-bb4d9c987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d7186-06eb-40c5-bf25-88a34e0c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40c7e-06e4-4200-964e-bb4d9c987f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070336-a3f4-4850-81c4-9c005a51c95c}" ma:internalName="TaxCatchAll" ma:showField="CatchAllData" ma:web="65940c7e-06e4-4200-964e-bb4d9c987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2D2310-8B16-46D1-802A-75714A08EF3D}">
  <ds:schemaRefs>
    <ds:schemaRef ds:uri="http://schemas.microsoft.com/office/2006/metadata/properties"/>
    <ds:schemaRef ds:uri="http://schemas.microsoft.com/office/infopath/2007/PartnerControls"/>
    <ds:schemaRef ds:uri="406d7186-06eb-40c5-bf25-88a34e0c16c7"/>
    <ds:schemaRef ds:uri="65940c7e-06e4-4200-964e-bb4d9c987f19"/>
  </ds:schemaRefs>
</ds:datastoreItem>
</file>

<file path=customXml/itemProps2.xml><?xml version="1.0" encoding="utf-8"?>
<ds:datastoreItem xmlns:ds="http://schemas.openxmlformats.org/officeDocument/2006/customXml" ds:itemID="{E54CAFC9-DAF5-4EA9-B83F-6F8DEA396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6d7186-06eb-40c5-bf25-88a34e0c16c7"/>
    <ds:schemaRef ds:uri="65940c7e-06e4-4200-964e-bb4d9c987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DE7309-ACA5-4261-BF98-254A258364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Regional</vt:lpstr>
      <vt:lpstr>Exceção Siglas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Henrique</dc:creator>
  <cp:keywords/>
  <dc:description/>
  <cp:lastModifiedBy>Nubia Andrade</cp:lastModifiedBy>
  <cp:revision/>
  <dcterms:created xsi:type="dcterms:W3CDTF">2026-06-03T15:15:25Z</dcterms:created>
  <dcterms:modified xsi:type="dcterms:W3CDTF">2026-08-25T23:22:39Z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2026-06-11T13:01:08Z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d4323daa-7cfa-4f75-80a7-4dbbb1e52035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  <property fmtid="{D5CDD505-2E9C-101B-9397-08002B2CF9AE}" pid="10" name="ContentTypeId">
    <vt:lpwstr>0x0101009A1166BD8E8B2C41B02DCA475EF4830E</vt:lpwstr>
  </property>
  <property fmtid="{D5CDD505-2E9C-101B-9397-08002B2CF9AE}" pid="11" name="MediaServiceImageTags">
    <vt:lpwstr/>
  </property>
</Properties>
</file>